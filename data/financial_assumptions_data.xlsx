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_ASSUMPTIONS_tong_hop" sheetId="1" state="visible" r:id="rId3"/>
    <sheet name="Kich_ban_do_nhay" sheetId="2" state="visible" r:id="rId4"/>
    <sheet name="Inflation - kan" sheetId="3" state="visible" r:id="rId5"/>
    <sheet name="GDP per capita - kan" sheetId="4" state="visible" r:id="rId6"/>
    <sheet name="Giá vàng SJC - kan" sheetId="5" state="visible" r:id="rId7"/>
    <sheet name="Return Bond (kan)" sheetId="6" state="visible" r:id="rId8"/>
    <sheet name="VNIndex return - npp" sheetId="7" state="visible" r:id="rId9"/>
    <sheet name="Lãi huy động (kan)" sheetId="8" state="visible" r:id="rId10"/>
    <sheet name="Biến động thu nhập household (k" sheetId="9" state="visible" r:id="rId11"/>
    <sheet name="Lạm phát giá mua bds - kan" sheetId="10" state="visible" r:id="rId12"/>
    <sheet name="Loan value - npp" sheetId="11" state="visible" r:id="rId13"/>
    <sheet name="Lãi suất vay nhà - npp" sheetId="12" state="visible" r:id="rId14"/>
    <sheet name="Lai_tham_chieu" sheetId="13" state="visible" r:id="rId15"/>
    <sheet name="Doi_chieu_index_html" sheetId="14" state="visible" r:id="rId16"/>
    <sheet name="Nhat_ky_v6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5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cố tình để lỗi nha
</t>
        </r>
      </text>
    </comment>
    <comment ref="E6" authorId="0">
      <text>
        <r>
          <rPr>
            <sz val="10"/>
            <rFont val="Arial"/>
            <family val="2"/>
          </rPr>
          <t xml:space="preserve">02/10: số gõ tay, không có nguồn; tính từ chuỗi chỉ ra CAGR ~6,3%. Không dùng.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02/10: SAI — trộn bước 2 năm (2010-2018) với bước 1 năm. Dùng H2/H3.</t>
        </r>
      </text>
    </comment>
  </commentList>
</comments>
</file>

<file path=xl/sharedStrings.xml><?xml version="1.0" encoding="utf-8"?>
<sst xmlns="http://schemas.openxmlformats.org/spreadsheetml/2006/main" count="775" uniqueCount="611">
  <si>
    <t xml:space="preserve">FIN_ASSUMPTIONS — bộ số sau khi sửa (09/10/2026, khớp Final Plan v5 và FINAL PRODUCT V5)</t>
  </si>
  <si>
    <t xml:space="preserve">Xanh dương = nhập tay; đen = công thức; xanh lá = lấy từ sheet khác. Trạng thái: CHỐT / ĐỀ XUẤT (chờ nhóm duyệt) / MỞ (chưa có số).</t>
  </si>
  <si>
    <t xml:space="preserve">Field</t>
  </si>
  <si>
    <t xml:space="preserve">Giá trị</t>
  </si>
  <si>
    <t xml:space="preserve">Std (Monte Carlo)</t>
  </si>
  <si>
    <t xml:space="preserve">Cách rút mẫu</t>
  </si>
  <si>
    <t xml:space="preserve">Trạng thái</t>
  </si>
  <si>
    <t xml:space="preserve">Nguồn / cách tính</t>
  </si>
  <si>
    <t xml:space="preserve">interest_rate_promo_pct — 6 tháng</t>
  </si>
  <si>
    <t xml:space="preserve">CHỐT</t>
  </si>
  <si>
    <t xml:space="preserve">MB CN Vạn Phúc (ảnh văn bản gốc)</t>
  </si>
  <si>
    <t xml:space="preserve">interest_rate_promo_pct — 12 tháng</t>
  </si>
  <si>
    <t xml:space="preserve">MB CN Vạn Phúc</t>
  </si>
  <si>
    <t xml:space="preserve">interest_rate_promo_pct — 18 tháng</t>
  </si>
  <si>
    <t xml:space="preserve">interest_rate_promo_pct — 24 tháng</t>
  </si>
  <si>
    <t xml:space="preserve">float_rate_margin_year1_pct</t>
  </si>
  <si>
    <t xml:space="preserve">MB CN Vạn Phúc — năm đầu SAU ưu đãi</t>
  </si>
  <si>
    <t xml:space="preserve">float_rate_margin_from_year2_pct</t>
  </si>
  <si>
    <t xml:space="preserve">interest_rate_float_ref_pct</t>
  </si>
  <si>
    <t xml:space="preserve">per_path</t>
  </si>
  <si>
    <t xml:space="preserve">CHỐT (nhóm quyết 08/10; số ngoại suy)</t>
  </si>
  <si>
    <t xml:space="preserve">Ngoại suy: lãi thả nổi thị trường 13–15% (Thanh Niên 25/08/2026, Dân trí 24/08/2026) − biên độ MB 3,5%; xem sheet Lai_tham_chieu. Cần xác nhận với MB</t>
  </si>
  <si>
    <t xml:space="preserve">rate_adjustment_frequency_months</t>
  </si>
  <si>
    <t xml:space="preserve">grace_period_months</t>
  </si>
  <si>
    <t xml:space="preserve">prepayment_fee_pct (năm 1-5 / từ năm 6)</t>
  </si>
  <si>
    <t xml:space="preserve">1% / 0%</t>
  </si>
  <si>
    <t xml:space="preserve">max_loan_to_value_pct — base / boom / downturn</t>
  </si>
  <si>
    <t xml:space="preserve">80% / 80% / 70%</t>
  </si>
  <si>
    <t xml:space="preserve">Base &amp; Boom 80% = MB CN Vạn Phúc tối đa (mọi thông số vay lấy theo gói MB, nên Boom không dùng 100% của VCB); Downturn 70% = ngân hàng siết, gói VCB Nhà mới thành đạt. Sửa 08/10 (Boom 100% → 80%).</t>
  </si>
  <si>
    <t xml:space="preserve">bank_max_term_months</t>
  </si>
  <si>
    <t xml:space="preserve">max_borrower_age (tuổi tối đa khi kết thúc khoản vay; độ nhạy 65 / 75)</t>
  </si>
  <si>
    <t xml:space="preserve">CHỐT (nhóm quyết 08/10)</t>
  </si>
  <si>
    <t xml:space="preserve">Cách tính: tuổi người lớn hơn = max(tuổi 1, tuổi 2); kỳ hạn tối đa = (70 − tuổi người lớn hơn) × 12, không quá 360 tháng; chặn nếu ≤ 24 tháng. Nguồn chính VIB (22/07/2025): https://www.vib.com.vn/vn/cam-nang/vay/vay-bat-dong-san/vay-mua-nha-duoc-bao-nhieu-nam ; Cake: https://cake.vn/tin-tuc/tai-chinh/vay-the-chap-toi-da-duoc-bao-nhieu-nam ; Onlinebank–MB: https://onlinebank.com.vn/sp/vay-mua-nha-du-an-mb/ ; Standard Chartered: https://www.sc.com/vn/loans/mortgage/ . Độ nhạy 65 (VPBank) / 75 (PVcomBank, NCB). Luật “người lớn tuổi hơn” khi vay chung là GIẢ ĐỊNH thận trọng của nhóm (chưa ngân hàng nào ghi rõ); cần MB Vạn Phúc xác nhận.</t>
  </si>
  <si>
    <t xml:space="preserve">buy_closing_costs_pct</t>
  </si>
  <si>
    <t xml:space="preserve">CHỐT (có nguồn)</t>
  </si>
  <si>
    <t xml:space="preserve">Gồm: phí bảo trì 2% (Khoản 1 Điều 152 Luật Nhà ở 2023, hiệu lực 01/08/2024: https://hethongphapluat.com/law-no-27-2023-qh15-dated-december-27-2023-on-housing/dieu-152 ; https://thuvienphapluat.vn/phap-luat-nha-dat/nguoi-mua-can-ho-chung-cu-co-bat-buoc-phai-dong-phi-bao-tri-chung-cu-khong-8987.html ; https://thuviennhadat.vn/phap-ly-nha-dat/nguoi-mua-chung-cu-phai-dong-2-kinh-phi-bao-tri-chung-cu-dung-khong-633637.html ; NĐ 99/2015 hết hiệu lực 01/08/2024, thay bằng NĐ 95/2024 theo QĐ 99/QĐ-BXD: https://caselaw.vn/van-ban-phap-luat/506072-quyet-dinh-so-99-qd-bxd-ngay-24-01-2025-cua-bo-truong-bo-xay-dung-cong-bo-danh-muc-van-ban-quy-pham-phap-luat-het-hieu-luc-toan-bo-hoac-mot-phan-thuoc-linh-vuc-quan-ly-nha-nuoc-cua-bo-xay-dung-nam-2024) + lệ phí trước bạ 0,5% (K1 Đ8 NĐ 10/2022, sửa bởi NĐ 175/2025; khai theo NĐ 373/2025: https://thuvienphapluat.vn/phap-luat-nha-dat/toan-bo-19-truong-hop-duoc-mien-le-phi-truoc-ba-nha-dat-2026-14320.html ; https://thuvienphapluat.vn/phap-luat-nha-dat/ho-so-khai-le-phi-truoc-ba-nha-dat-moi-nhat-2026-chuan-nghi-dinh-373-2025-nd-cp-14436.html) + công chứng ~0,05-0,07% theo bậc (TT 257/2016 sửa bởi TT 111/2017: https://luatvietnam.vn/hanh-chinh/muc-phi-cong-chung-moi-nhat-570-21497-article.html). Dùng trong kiểm tra tiền trả trước tối thiểu (B4: tiền trả trước thật = tiết kiệm − phí 2,6% − quỹ dự phòng) và trong giới hạn dpLimit = (tiết kiệm − quỹ) ÷ 0,226 của Plan B (B2.1). Lưu ý: Điều 152 chỉ áp dụng cho người mua từ chủ đầu tư; listing của nhóm là căn bán lại nên phí thực tế có thể chỉ ~0,56%. Model giữ 2,6% như mức thận trọng, nên điều kiện tiền trả trước có thể khắt khe hơn thực tế.</t>
  </si>
  <si>
    <t xml:space="preserve">property_annual_appreciation_pct</t>
  </si>
  <si>
    <t xml:space="preserve">PA2 (CHỐT): 20,43% → 8,38%, τ = 3,24 năm</t>
  </si>
  <si>
    <t xml:space="preserve">CHỐT (PA2); PA1 19% cố định = cận trên đối chiếu</t>
  </si>
  <si>
    <t xml:space="preserve">g(t) = 8,38% + (20,43% − 8,38%)·e^(−t/3,24). Điểm đầu 20,43% = CAGR sơ cấp Hà Nội 2020-2025 (sheet giá bds; CafeF/Cushman &amp; Wakefield). Điểm cuối 8,38% = CPI 3,09% + tăng GDP thực/người (World Bank). τ = 3,24 hiệu chỉnh để trung bình 10 năm = 12,66% (CAGR 2016-2025, sheet giá bds). Kết quả: TB 10 năm 12,66%, CAGR 30 năm 9,86%. Độ nhạy τ = 1 / 3,24 / 6,5; PA1 19%/năm cố định (×185 sau 30 năm) giữ làm cận trên.</t>
  </si>
  <si>
    <t xml:space="preserve">rent_annual_growth_pct</t>
  </si>
  <si>
    <t xml:space="preserve">6% (độ nhạy 3% / 7% / 10%)</t>
  </si>
  <si>
    <t xml:space="preserve">CHỐT (09/10)</t>
  </si>
  <si>
    <t xml:space="preserve">Chốt 09/10: base 6%/năm; độ nhạy 3% / 7% / 10%; σ = 1,25 điểm % rút 1 lần/đường = (10% − 5%) / 4. Gần tốc độ tăng thu nhập ĐBSH 5,56% nên tiền thuê/thu nhập sau 30 năm chỉ tăng nhẹ (30% → 34%); cao hơn CPI 3,09%; nằm ở cận dưới khoảng 5–10% của VnExpress 15/08/2025 (giá chào, nhiều chung cư 10–15%) và Vietnambiz 14/04/2025 (đi ngang ~3 năm). Không có chuỗi giá thuê căn hộ thường, 6% là mức phán đoán có lý lẽ, không phải số đo trực tiếp (Hạn chế #6). Luôn bật cùng lúc tăng thu nhập và CPI. 3% dùng cho Downturn, 10% cho Boom.</t>
  </si>
  <si>
    <t xml:space="preserve">income_annual_growth_pct</t>
  </si>
  <si>
    <t xml:space="preserve">per_year</t>
  </si>
  <si>
    <t xml:space="preserve">Chuỗi Đồng bằng sông Hồng — NSO, Khảo sát mức sống dân cư (KSMS) 2024, trang 283; quy đổi hằng năm 2019-2024 (danh nghĩa).</t>
  </si>
  <si>
    <t xml:space="preserve">living_cost_annual_growth_pct (CPI)</t>
  </si>
  <si>
    <t xml:space="preserve">ĐỀ XUẤT</t>
  </si>
  <si>
    <t xml:space="preserve">World Bank CPI 2016-2025</t>
  </si>
  <si>
    <t xml:space="preserve">savings (kênh)</t>
  </si>
  <si>
    <t xml:space="preserve">LSHĐ 6-12 tháng mức cao nhất 2016-2026 (FiinPro) — CẬN TRÊN</t>
  </si>
  <si>
    <t xml:space="preserve">stocks (kênh, VN-Index)</t>
  </si>
  <si>
    <t xml:space="preserve">VN-Index 05/2021-08/2026 (investing.com), đã sửa ngày; chưa gồm cổ tức</t>
  </si>
  <si>
    <t xml:space="preserve">bonds (kênh, TPCP 10 năm)</t>
  </si>
  <si>
    <t xml:space="preserve">FiinPro 2016-2026; std của mức lợi suất</t>
  </si>
  <si>
    <t xml:space="preserve">gold (kênh, SJC)</t>
  </si>
  <si>
    <t xml:space="preserve">CHỐT 07/10 (base bỏ 2025; 14,89% = độ nhạy)</t>
  </si>
  <si>
    <t xml:space="preserve">FiinPro giá bán SJC. Base = TB tháng × 12 giai đoạn 02/2016–12/2024 (bỏ cú tăng 2025 +81,5%). Độ nhạy: 14,89% (01/2016–09/2026, ô F6 sheet vàng). σ giữ 14,13% (cả chuỗi) cho thận trọng.</t>
  </si>
  <si>
    <t xml:space="preserve">Lợi suất cho thuê năm 0 (kiểm tra B5.1)</t>
  </si>
  <si>
    <t xml:space="preserve">2,3% (data nhóm) – 3,74% (GPG 2PN)</t>
  </si>
  <si>
    <t xml:space="preserve">Trung vị 71 tòa có cả tin mua &amp; thuê (DATA.xlsx); GPG Q3/2025 rental yields</t>
  </si>
  <si>
    <t xml:space="preserve">safety_margin_min_pct (&lt;35tr/35-49/50-74/≥75tr)</t>
  </si>
  <si>
    <t xml:space="preserve">40% / 35% / 30% / 25%</t>
  </si>
  <si>
    <t xml:space="preserve">Đề xuất nhóm; bậc 25% nội suy; CFPB/DNSE chỉ tham khảo. Cách C (chốt 07/10): bậc tra theo thu nhập quy về tiền hôm nay = thu nhập danh nghĩa ÷ lạm phát cộng dồn (CPI 3,09%/năm), xét từng tháng của kỳ vay; tháng xấu nhất = khoảng cách nhỏ nhất giữa tỷ lệ dư và ngưỡng. V3 (09/10): thêm tùy chọn smooth_safe_level (mặc định tắt, dòng 42) nối thẳng các bậc để bỏ "vách đá" (Hạn chế #24). Trên trang, bảng mức an toàn đọc thẳng từ hàm getSafetyMarginMinPct nên không thể lệch với phép kiểm tra.</t>
  </si>
  <si>
    <t xml:space="preserve">Tiền cọc thuê (KHÔNG đưa vào model)</t>
  </si>
  <si>
    <t xml:space="preserve">2 tháng tiền thuê</t>
  </si>
  <si>
    <t xml:space="preserve">Thực tiễn thị trường</t>
  </si>
  <si>
    <t xml:space="preserve">Chung cư thường cọc 2 tháng: https://wiki.batdongsan.com.vn/wiki/tien-coc-thue-nha-la-gi-cdk-109669 ; luật không quy định mức cọc (BLDS 2015 Đ328-330, Luật Nhà ở 2023): https://landager.com/vi/property-compliance/vietnam/national/security-deposits</t>
  </si>
  <si>
    <t xml:space="preserve">emergency_fund_months (quỹ dự phòng)</t>
  </si>
  <si>
    <t xml:space="preserve">6 (user nhập)</t>
  </si>
  <si>
    <t xml:space="preserve">CHỐT 07/10</t>
  </si>
  <si>
    <t xml:space="preserve">Số tháng sinh hoạt phí giữ lại, luôn ở kênh tiết kiệm. Tiền trả trước = tiết kiệm − phí mua 2,6% − quỹ dự phòng; đủ điều kiện khi tiết kiệm ≥ 20% giá + 2,6% + quỹ. Mức sàn = số tháng × sinh hoạt phí của chính tháng đó (tăng theo CPI). Áp dụng như nhau cho MUA và THUÊ. Mức 6 tháng là quy ước nhóm.</t>
  </si>
  <si>
    <t xml:space="preserve">investment_allocation_default (tỷ lệ 4 kênh)</t>
  </si>
  <si>
    <t xml:space="preserve">100% tiết kiệm</t>
  </si>
  <si>
    <t xml:space="preserve">CHỐT 08/10</t>
  </si>
  <si>
    <t xml:space="preserve">User tự đổi (tổng = 100%). Thiếu tiền: rút 4 kênh theo tỷ lệ, hết mới rút quỹ dự phòng. Dư tiền: trả khoản thiếu cũ → bù quỹ → chia theo tỷ lệ. Cân bằng lại mỗi 12 tháng.</t>
  </si>
  <si>
    <t xml:space="preserve">existing_debt_months (nợ đang trả còn bao nhiêu tháng)</t>
  </si>
  <si>
    <t xml:space="preserve">User nhập (trống = cả kỳ)</t>
  </si>
  <si>
    <t xml:space="preserve">Khoản nợ giữ nguyên số tiền, thôi trừ sau tháng này.</t>
  </si>
  <si>
    <t xml:space="preserve">Đo "cạn tiết kiệm"</t>
  </si>
  <si>
    <t xml:space="preserve">Chính: phải dùng quỹ dự phòng; phụ: hết sạch tiền</t>
  </si>
  <si>
    <t xml:space="preserve">Chính = tháng đầu phải rút quỹ dự phòng để trả chi phí thường xuyên (4 kênh đã hết). Phụ = tháng quỹ về 0; phần thiếu sau đó cộng dồn, không tính lãi, trừ vào tài sản ròng.</t>
  </si>
  <si>
    <t xml:space="preserve">Nhãn mức rủi ro (% kịch bản phải dùng quỹ)</t>
  </si>
  <si>
    <t xml:space="preserve">&lt; 10% thấp / 10–25% vừa / &gt; 25% cao</t>
  </si>
  <si>
    <t xml:space="preserve">CHỐT 08/10 (quy ước nhóm)</t>
  </si>
  <si>
    <t xml:space="preserve">Chỉ để đọc nhanh, số % gốc vẫn hiện. "Rủi ro thường xảy ra khi nào": so nhóm phải dùng quỹ với nhóm không dùng, nêu tối đa 2 biến có hiệu ứng ≥ 0,3 độ lệch chuẩn. Hạn chế #20. V5: khối kết luận dùng 3 nhãn theo kết quả kiểm tra an toàn: Comfortable (qua và còn dư từ 5 điểm % thu nhập trở lên so với mức an toàn ở tháng chặt nhất), Tight (qua nhưng dư dưới 5 điểm), Not safe (có tháng dưới mức an toàn). Chỉ là cách trình bày; qua hay không qua vẫn là is_safe. Nhãn rủi ro: &lt; 10% low, 10–25% medium, &gt; 25% high.</t>
  </si>
  <si>
    <t xml:space="preserve">Monte Carlo (thiết lập)</t>
  </si>
  <si>
    <t xml:space="preserve">1.000 lần (bản nộp 10.000); độ nhạy 500 lần/dòng, 17 dòng; seed cố định 20260909 (mulberry32)</t>
  </si>
  <si>
    <t xml:space="preserve">σ và cách rút mẫu như các dòng trên. Khác repo Python: σ thu nhập 5,71 (chuỗi ĐBSH, thay 5,68 cả nước); mỗi kênh đầu tư rút riêng thay vì gộp một lợi suất danh mục; tăng giá nhà = cú sốc σ 4 điểm % cộng vào mọi năm của đường PA2; CPI không ngẫu nhiên. V3: thêm tùy chọn tương quan một nhân tố mc_shock_correlation (dòng 41, mặc định ρ = 0). Kiểm tra: σ = 0 thì mọi lần chạy trùng đường trung bình; ρ = 0 cho đúng kết quả V2.</t>
  </si>
  <si>
    <t xml:space="preserve">service_fee_vnd_per_m2 (đ/m²/tháng × diện tích căn, tăng theo CPI; cả MUA và THUÊ)</t>
  </si>
  <si>
    <t xml:space="preserve">CHỐT (09/10; mức nhóm chọn)</t>
  </si>
  <si>
    <t xml:space="preserve">Khung Hà Nội QĐ 33/2025/QĐ-UBND: nhà có thang máy 1.200–16.500 đ/m²/tháng (Thời báo Tài chính). Thực tế: Xuân Mai Complex (Hà Đông) ~5.000; Mandarin Garden (Cầu Giấy) ~14.000; Vinhomes Smart City 13.000–23.000 (VnExpress 22/4/2025). 10.000 là mức nhóm chọn giữa các mức này, dưới trần. Người sử dụng đóng (TVPL, Luật Nhà ở 2023, TT 05/2024/TT-BXD) và tin cho thuê thường chưa gồm phí này → áp cho cả hai bên. Độ nhạy 16.500 (trần khung). Hạn chế #22.</t>
  </si>
  <si>
    <t xml:space="preserve">owner_upkeep_pct (sửa chữa trong căn, % giá mua/năm, tăng theo CPI; chỉ bên MUA)</t>
  </si>
  <si>
    <t xml:space="preserve">CHỐT (09/10): = 0 ở kết quả chính, chỉ độ nhạy</t>
  </si>
  <si>
    <t xml:space="preserve">Quy tắc "1% giá trị nhà mỗi năm" (Metrobank) chia đôi vì kết cấu và phần chung do quỹ bảo trì 2% và phí dịch vụ chi trả. Yếu nguồn nhất nên từ 09/10 nhóm KHÔNG đưa vào kết quả chính (mặc định 0); chỉ chạy dòng độ nhạy 1%/năm giá mua. Căn 6 tỷ với 1%: thêm ~5 triệu/tháng, % MUA giàu hơn sau 10 năm giảm 86% → 83% (hồ sơ thử 45 + 35 triệu, tiết kiệm 2,5 tỷ, 500 lượt). Hạn chế #23.</t>
  </si>
  <si>
    <t xml:space="preserve">fire_insurance_pct (bảo hiểm cháy nổ bắt buộc, % giá mua/năm, tăng theo CPI; chỉ bên MUA)</t>
  </si>
  <si>
    <t xml:space="preserve">0,05%/năm cho nhà có chữa cháy tự động: NĐ 67/2023/NĐ-CP và NĐ 105/2025/NĐ-CP (Luật Minh Khuê; LSVN). Luật tính trên chi phí xây lại, model tính trên giá mua nên là cận trên.</t>
  </si>
  <si>
    <t xml:space="preserve">selling_cost_pct (môi giới khi bán, % giá trị nhà năm đó; trừ khỏi Net worth MUA mỗi năm, kể cả năm 0)</t>
  </si>
  <si>
    <t xml:space="preserve">Hoa hồng bán nhà, căn hộ 1–2% giá trị (wiki.batdongsan, 06/2023) → 1,5%. Độ nhạy 3,5% (= 1,5% môi giới + 2% thuế TNCN). Môi giới khi THUÊ = 0 (bên nào thuê môi giới thì bên đó trả; thường là chủ nhà).</t>
  </si>
  <si>
    <t xml:space="preserve">selling_tax_pct (thuế TNCN khi bán; trong code gộp vào selling_cost_pct, không có field riêng)</t>
  </si>
  <si>
    <t xml:space="preserve">Thuế suất 2% giá chuyển nhượng, Luật Thuế TNCN 2025 Điều 14 (TVPL); miễn khi bán nhà ở duy nhất đã sở hữu ≥ 183 ngày (Điều 4 khoản 2; NĐ 253/2026 Điều 19, Báo Pháp luật). Người dùng mục tiêu mua căn đầu tiên nên mặc định được miễn = 0%. Độ nhạy: selling_cost_pct = 3,5%. Hạn chế #17.</t>
  </si>
  <si>
    <t xml:space="preserve">mc_shock_correlation (ρ, tương quan một nhân tố giữa các cú sốc Monte Carlo)</t>
  </si>
  <si>
    <t xml:space="preserve">CHỐT (09/10; quy ước nhóm, chỉ stress test)</t>
  </si>
  <si>
    <t xml:space="preserve">Mặc định ρ = 0 (rút độc lập). ρ &gt; 0: cú sốc mỗi biến = ρ·Z_chung + √(1 − ρ²)·Z_riêng, dấu đặt sao cho "xấu cùng lúc": lãi tham chiếu, lãi tiết kiệm, TPCP tăng; giá nhà, thu nhập, cổ phiếu giảm. σ từng biến giữ nguyên. Độ nhạy chạy ρ = 0,5. Không có nguồn cho ma trận tương quan nên chỉ dùng làm stress test. Hạn chế #7.</t>
  </si>
  <si>
    <t xml:space="preserve">smooth_safe_level (nối thẳng các bậc ngưỡng an toàn)</t>
  </si>
  <si>
    <t xml:space="preserve">Tắt (false)</t>
  </si>
  <si>
    <t xml:space="preserve">CHỐT (09/10; quy ước nhóm)</t>
  </si>
  <si>
    <t xml:space="preserve">Mặc định tắt: dùng bậc 40/35/30/25% (dòng 28). Bật: nội suy tuyến tính 40% @35tr, 35% @50tr, 30% @75tr, 25% @100tr (thu nhập quy về tiền hôm nay), không bao giờ thấp hơn bậc → bỏ "vách đá" ở ranh giới. Chạy trong độ nhạy (B7.1). Hạn chế #24.</t>
  </si>
  <si>
    <t xml:space="preserve">Kịch bản Boom / Stable / Downturn và độ nhạy (chốt 07/10/2026; cập nhật 09/10 theo V3–V5: thêm chi phí giữ nhà/bán và 5 dòng độ nhạy mới)</t>
  </si>
  <si>
    <t xml:space="preserve">Xanh dương = nhập tay; đen = công thức; xanh lá = lấy từ sheet khác. Kịch bản chỉ dời MỨC TRUNG BÌNH, σ giữ như sheet tổng hợp.</t>
  </si>
  <si>
    <t xml:space="preserve">Biến</t>
  </si>
  <si>
    <t xml:space="preserve">Boom</t>
  </si>
  <si>
    <t xml:space="preserve">Stable (base)</t>
  </si>
  <si>
    <t xml:space="preserve">Downturn</t>
  </si>
  <si>
    <t xml:space="preserve">Năm gốc / cách tính</t>
  </si>
  <si>
    <t xml:space="preserve">Nguồn</t>
  </si>
  <si>
    <t xml:space="preserve">Lãi tham chiếu</t>
  </si>
  <si>
    <t xml:space="preserve">Stable ± 1σ (0,75 điểm %)</t>
  </si>
  <si>
    <t xml:space="preserve">Lai_tham_chieu; Thanh Niên, Dân trí</t>
  </si>
  <si>
    <t xml:space="preserve">LTV</t>
  </si>
  <si>
    <t xml:space="preserve">MB Vạn Phúc tối đa 80% (không dùng 100% của VCB cho Boom); Downturn 70% = ngân hàng siết</t>
  </si>
  <si>
    <t xml:space="preserve">Ảnh văn bản MB CN Vạn Phúc; VCB Nhà mới thành đạt (sheet Loan value)</t>
  </si>
  <si>
    <t xml:space="preserve">Tăng giá nhà: điểm đầu g0</t>
  </si>
  <si>
    <t xml:space="preserve">Boom/Stable: CAGR 2020–2025; Downturn: CAGR 2016–2020 (lặp lại giai đoạn đi ngang)</t>
  </si>
  <si>
    <t xml:space="preserve">CafeF, Cushman &amp; Wakefield</t>
  </si>
  <si>
    <t xml:space="preserve">Tăng giá nhà: mức dài hạn g∞</t>
  </si>
  <si>
    <t xml:space="preserve">CPI TB 2016–2025 + tăng GDP thực/người TB 2016–2025 (ô B21)</t>
  </si>
  <si>
    <t xml:space="preserve">World Bank</t>
  </si>
  <si>
    <t xml:space="preserve">Tăng giá nhà: τ (năm)</t>
  </si>
  <si>
    <t xml:space="preserve">Boom: nguội chậm gấp đôi (độ nhạy đã có); Stable: hiệu chỉnh CAGR 10 năm = 12,66%</t>
  </si>
  <si>
    <t xml:space="preserve">B5.1 plan</t>
  </si>
  <si>
    <t xml:space="preserve">Tăng giá thuê</t>
  </si>
  <si>
    <t xml:space="preserve">Boom: mức trên "5–10% ở một số dự án"; Downturn ≈ CPI</t>
  </si>
  <si>
    <t xml:space="preserve">VnExpress 15/08/2025; Vietnambiz 14/04/2025</t>
  </si>
  <si>
    <t xml:space="preserve">Thu nhập</t>
  </si>
  <si>
    <t xml:space="preserve">Boom: TB 2022–2024 chuỗi ĐBSH; Downturn = CPI (thu nhập thực đứng yên)</t>
  </si>
  <si>
    <t xml:space="preserve">NSO KSMS 2024 tr. 283; World Bank CPI</t>
  </si>
  <si>
    <t xml:space="preserve">Sinh hoạt phí (CPI)</t>
  </si>
  <si>
    <t xml:space="preserve">Giữ nguyên: σ 0,54%, 2016–2025 trong 1,83–3,62%</t>
  </si>
  <si>
    <t xml:space="preserve">World Bank CPI</t>
  </si>
  <si>
    <t xml:space="preserve">Tiết kiệm 6–12 tháng</t>
  </si>
  <si>
    <t xml:space="preserve">Đi cùng chiều lãi vay. Boom: TB 2020–2021; Downturn: 2022</t>
  </si>
  <si>
    <t xml:space="preserve">FiinPro</t>
  </si>
  <si>
    <t xml:space="preserve">Trái phiếu TPCP 10 năm</t>
  </si>
  <si>
    <t xml:space="preserve">Boom: TB 2020–2021; Downturn: 2022</t>
  </si>
  <si>
    <t xml:space="preserve">Cổ phiếu (VN-Index)</t>
  </si>
  <si>
    <t xml:space="preserve">Giữ nguyên: không đi theo chu kỳ nhà (2025 nhà +26,7%, VNI +40,9%; 2022 nhà 0%, VNI −32,8%)</t>
  </si>
  <si>
    <t xml:space="preserve">investing.com</t>
  </si>
  <si>
    <t xml:space="preserve">Vàng (SJC)</t>
  </si>
  <si>
    <t xml:space="preserve">Giữ nguyên; base bỏ cú tăng 2025</t>
  </si>
  <si>
    <t xml:space="preserve">Chi phí giữ nhà / bán (V3)</t>
  </si>
  <si>
    <t xml:space="preserve">10.000 đ/m²; bảo hiểm 0,05%; bán 1,5%; sửa chữa 0</t>
  </si>
  <si>
    <t xml:space="preserve">Giữ nguyên ở cả ba: không đi theo chu kỳ thị trường; mức cao hơn chỉ chạy trong độ nhạy</t>
  </si>
  <si>
    <t xml:space="preserve">B4.1; FIN_ASSUMPTIONS_tong_hop dòng 36–40</t>
  </si>
  <si>
    <t xml:space="preserve">Ba nguyên tắc (chốt 07/10): (1) mỗi kịch bản giống một giai đoạn đã xảy ra trong dữ liệu 2016–2026, số nào cũng có năm gốc; (2) chỉ dời mức trung bình, σ giữ như sheet tổng hợp; (3) biến không đi theo chu kỳ nhà (CPI, cổ phiếu, vàng, chi phí giữ nhà) giữ nguyên ở cả ba. Kỳ hạn vay không đổi theo kịch bản.</t>
  </si>
  <si>
    <t xml:space="preserve">g∞ = CPI TB + tăng GDP thực/người TB (2016–2025)</t>
  </si>
  <si>
    <t xml:space="preserve">Đường tăng giá nhà theo kịch bản: g(t) = g∞ + (g0 − g∞)·e^(−(t−1)/τ), t = năm 1, 2, ...</t>
  </si>
  <si>
    <t xml:space="preserve">Tóm tắt</t>
  </si>
  <si>
    <t xml:space="preserve">Năm t</t>
  </si>
  <si>
    <t xml:space="preserve">g Boom</t>
  </si>
  <si>
    <t xml:space="preserve">g Stable</t>
  </si>
  <si>
    <t xml:space="preserve">g Downturn</t>
  </si>
  <si>
    <t xml:space="preserve">Hệ số Boom</t>
  </si>
  <si>
    <t xml:space="preserve">Hệ số Stable</t>
  </si>
  <si>
    <t xml:space="preserve">Hệ số Downturn</t>
  </si>
  <si>
    <t xml:space="preserve">Năm 1</t>
  </si>
  <si>
    <t xml:space="preserve">Năm 5</t>
  </si>
  <si>
    <t xml:space="preserve">Năm 10</t>
  </si>
  <si>
    <t xml:space="preserve">CAGR 10 năm</t>
  </si>
  <si>
    <t xml:space="preserve">CAGR 30 năm</t>
  </si>
  <si>
    <t xml:space="preserve">Giá nhân sau 30 năm</t>
  </si>
  <si>
    <t xml:space="preserve">Stable</t>
  </si>
  <si>
    <t xml:space="preserve">Độ nhạy (B7.1): đổi từng biến một, các biến khác giữ Stable. 16 dòng + dòng gốc Stable = 17 dòng, mỗi dòng 500 lần</t>
  </si>
  <si>
    <t xml:space="preserve">Các mức thử</t>
  </si>
  <si>
    <t xml:space="preserve">Lý do</t>
  </si>
  <si>
    <t xml:space="preserve">Tăng giá nhà: τ</t>
  </si>
  <si>
    <t xml:space="preserve">1 / 3,24 / 6,5</t>
  </si>
  <si>
    <t xml:space="preserve">3,24</t>
  </si>
  <si>
    <t xml:space="preserve">Nguội nhanh / base / nguội chậm gấp đôi</t>
  </si>
  <si>
    <t xml:space="preserve">B5.1</t>
  </si>
  <si>
    <t xml:space="preserve">Tăng giá nhà: PA1</t>
  </si>
  <si>
    <t xml:space="preserve">19%/năm cố định</t>
  </si>
  <si>
    <t xml:space="preserve">—</t>
  </si>
  <si>
    <t xml:space="preserve">Cận trên đối chiếu, không dùng làm kịch bản</t>
  </si>
  <si>
    <t xml:space="preserve">3% / 6% / 7% / 10%</t>
  </si>
  <si>
    <t xml:space="preserve">6%</t>
  </si>
  <si>
    <t xml:space="preserve">3% ≈ CPI; 7–10% mức tăng thị trường</t>
  </si>
  <si>
    <t xml:space="preserve">VnExpress 08/2025</t>
  </si>
  <si>
    <t xml:space="preserve">Tuổi tối đa khi trả xong nợ</t>
  </si>
  <si>
    <t xml:space="preserve">65 / 70 / 75</t>
  </si>
  <si>
    <t xml:space="preserve">70</t>
  </si>
  <si>
    <t xml:space="preserve">Khoảng phổ biến các ngân hàng</t>
  </si>
  <si>
    <t xml:space="preserve">VPBank (65); VIB, Cake (70); PVcomBank, NCB (75)</t>
  </si>
  <si>
    <t xml:space="preserve">70% / 80%</t>
  </si>
  <si>
    <t xml:space="preserve">80%</t>
  </si>
  <si>
    <t xml:space="preserve">Ngân hàng siết cho vay</t>
  </si>
  <si>
    <t xml:space="preserve">VCB Nhà mới thành đạt</t>
  </si>
  <si>
    <t xml:space="preserve">Lợi suất vàng</t>
  </si>
  <si>
    <t xml:space="preserve">11,12% / 14,89%</t>
  </si>
  <si>
    <t xml:space="preserve">11,12%</t>
  </si>
  <si>
    <t xml:space="preserve">14,89% = có cú tăng 2025</t>
  </si>
  <si>
    <t xml:space="preserve">FiinPro (sheet vàng F13, F6)</t>
  </si>
  <si>
    <t xml:space="preserve">Thu nhập 2 năm đầu (áp cho năm 2–3)</t>
  </si>
  <si>
    <t xml:space="preserve">−1,6%/năm / +5,56%/năm</t>
  </si>
  <si>
    <t xml:space="preserve">+5,56%</t>
  </si>
  <si>
    <t xml:space="preserve">Cú sốc kiểu COVID ngay sau khi mua; −1,6% = TB 2020–2021 ĐBSH (ô B72). Đọc thêm "cạn tiết kiệm" Cách code: −1,6%/năm áp cho năm 2 và năm 3 (năm 1 thu nhập chưa tăng), σ vẫn chạy quanh mức đó.</t>
  </si>
  <si>
    <t xml:space="preserve">NSO KSMS 2024 tr. 283</t>
  </si>
  <si>
    <t xml:space="preserve">Phí dịch vụ (V3)</t>
  </si>
  <si>
    <t xml:space="preserve">10.000 / 16.500 đ/m²/tháng</t>
  </si>
  <si>
    <t xml:space="preserve">10.000</t>
  </si>
  <si>
    <t xml:space="preserve">16.500 = trần khung Hà Nội cho nhà có thang máy</t>
  </si>
  <si>
    <t xml:space="preserve">QĐ 33/2025/QĐ-UBND (B4.1)</t>
  </si>
  <si>
    <t xml:space="preserve">Sửa chữa trong căn (V3)</t>
  </si>
  <si>
    <t xml:space="preserve">0% / 1%/năm giá mua</t>
  </si>
  <si>
    <t xml:space="preserve">0%</t>
  </si>
  <si>
    <t xml:space="preserve">Kết quả chính không tính sửa chữa (yếu nguồn, chốt 09/10); dòng này thêm 1% = quy tắc 1% đầy đủ</t>
  </si>
  <si>
    <t xml:space="preserve">Metrobank (B4.1)</t>
  </si>
  <si>
    <t xml:space="preserve">Chi phí bán (V3)</t>
  </si>
  <si>
    <t xml:space="preserve">1,5% / 3,5%</t>
  </si>
  <si>
    <t xml:space="preserve">1,5%</t>
  </si>
  <si>
    <t xml:space="preserve">3,5% = cộng thuế TNCN 2% khi không phải nhà duy nhất</t>
  </si>
  <si>
    <t xml:space="preserve">Luật Thuế TNCN 2025 Điều 14 (B4.1)</t>
  </si>
  <si>
    <t xml:space="preserve">Cú sốc cùng chiều (V3)</t>
  </si>
  <si>
    <t xml:space="preserve">ρ = 0 / 0,5</t>
  </si>
  <si>
    <t xml:space="preserve">0</t>
  </si>
  <si>
    <t xml:space="preserve">Một nhân tố chung mỗi đường: lãi tham chiếu, lãi tiết kiệm, TPCP tăng; giá nhà, thu nhập, cổ phiếu giảm cùng lúc. Không có nguồn ma trận tương quan nên chỉ là stress test</t>
  </si>
  <si>
    <t xml:space="preserve">Quy ước nhóm 09/10 (B8)</t>
  </si>
  <si>
    <t xml:space="preserve">Ngưỡng an toàn (V3)</t>
  </si>
  <si>
    <t xml:space="preserve">Bậc 40/35/30/25% / nối thẳng</t>
  </si>
  <si>
    <t xml:space="preserve">Bậc</t>
  </si>
  <si>
    <t xml:space="preserve">Nối thẳng: 40% tại 35 triệu, 35% tại 50, 30% tại 75, 25% tại 100 (tiền hôm nay); không bao giờ thấp hơn bậc. Kiểm tra "vách đá" khi thu nhập thực vượt mốc</t>
  </si>
  <si>
    <t xml:space="preserve">Quy ước nhóm 09/10</t>
  </si>
  <si>
    <t xml:space="preserve">Thu nhập TB 2020–2021 (ĐBSH)</t>
  </si>
  <si>
    <t xml:space="preserve">Vietnam</t>
  </si>
  <si>
    <t xml:space="preserve">https://data.worldbank.org/indicator/FP.CPI.TOTL.ZG?end=2025&amp;locations=VN&amp;start=2016&amp;view=chart</t>
  </si>
  <si>
    <t xml:space="preserve">Mean 2016-2025</t>
  </si>
  <si>
    <t xml:space="preserve">Std 2016-2025</t>
  </si>
  <si>
    <t xml:space="preserve">Sửa 02/10 (#22): đổi số % (2.67) sang phân số (0.0267) để mọi sheet cùng đơn vị. Ô tô vàng = đã sửa.</t>
  </si>
  <si>
    <t xml:space="preserve">(USD)</t>
  </si>
  <si>
    <t xml:space="preserve">tăng trưởng (phân số)</t>
  </si>
  <si>
    <t xml:space="preserve">https://data.worldbank.org/indicator/NY.GDP.PCAP.KD.ZG?end=2025&amp;locations=VN&amp;start=2016</t>
  </si>
  <si>
    <t xml:space="preserve">Sửa 02/10 (#22): dòng 3 đổi sang phân số. Lưu ý: dòng 2 là mức USD, dòng 3 là tăng trưởng GDP/người theo giá cố định (NY.GDP.PCAP.KD.ZG).</t>
  </si>
  <si>
    <t xml:space="preserve">Ngày</t>
  </si>
  <si>
    <t xml:space="preserve">Giá vàng SJC - Giá bán (D)</t>
  </si>
  <si>
    <t xml:space="preserve">Return</t>
  </si>
  <si>
    <t xml:space="preserve">Đơn vị : VND/lượng</t>
  </si>
  <si>
    <t xml:space="preserve">fiinpro</t>
  </si>
  <si>
    <t xml:space="preserve">Standard deviation</t>
  </si>
  <si>
    <t xml:space="preserve">Mean</t>
  </si>
  <si>
    <t xml:space="preserve">CAGR (năm)</t>
  </si>
  <si>
    <t xml:space="preserve">Mean năm (=mean tháng×12)</t>
  </si>
  <si>
    <t xml:space="preserve">Std năm (=std tháng×√12)</t>
  </si>
  <si>
    <t xml:space="preserve">Sửa 02/10 (#17): ô F5 cũ =GEOMEAN(1+C130)-1 chỉ lấy 1 ô (ra -2,9%) → thay bằng CAGR 01/2016-09/2026.</t>
  </si>
  <si>
    <t xml:space="preserve">F3, F4 là số THEO THÁNG; model chạy theo năm nên dùng F6, F7.</t>
  </si>
  <si>
    <t xml:space="preserve">Cảnh báo: std tính theo năm dương lịch (Dec-to-Dec) ≈ 24,9% &gt; F7 vì lợi suất vàng có quán tính; 2025 tăng 81,5% → nên chạy độ nhạy.</t>
  </si>
  <si>
    <t xml:space="preserve">Mean năm 02/2016–12/2024 (bỏ cú tăng 2025) — BASE từ 07/10</t>
  </si>
  <si>
    <t xml:space="preserve">Lý do: 2025 tăng 81,5% (gấp gần 7 lần TB các năm còn lại); 9 tháng đầu 2026 giảm ~5,5%. F6 (14,89%, cả chuỗi) giữ làm độ nhạy; σ vẫn dùng F7 (cả chuỗi) cho thận trọng.</t>
  </si>
  <si>
    <t xml:space="preserve">STT</t>
  </si>
  <si>
    <t xml:space="preserve">Kỳ</t>
  </si>
  <si>
    <t xml:space="preserve">Lợi suất trái phiếu chính phủ 5 năm
Đơn vị: %</t>
  </si>
  <si>
    <t xml:space="preserve">Lợi suất trái phiếu chính phủ 10 năm
Đơn vị: %</t>
  </si>
  <si>
    <t xml:space="preserve">10 năm</t>
  </si>
  <si>
    <t xml:space="preserve">Mean 5 năm</t>
  </si>
  <si>
    <t xml:space="preserve">Std 5 năm</t>
  </si>
  <si>
    <t xml:space="preserve">Ghi chú 02/10 (#23): std ở đây là std của MỨC lợi suất cuối năm, không phải std lợi nhuận.</t>
  </si>
  <si>
    <t xml:space="preserve">Dùng được khi giả định mua &amp; giữ đến đáo hạn (lợi nhuận ≈ lợi suất lúc mua). Nguồn: FiinPro — ghi mã chuỗi + ngày tải.</t>
  </si>
  <si>
    <t xml:space="preserve">Tháng (đã sửa)</t>
  </si>
  <si>
    <t xml:space="preserve">VNINDEX</t>
  </si>
  <si>
    <t xml:space="preserve">VNI return</t>
  </si>
  <si>
    <t xml:space="preserve">Thống kê tính lại (02/10)</t>
  </si>
  <si>
    <t xml:space="preserve">Mean tháng</t>
  </si>
  <si>
    <t xml:space="preserve">Std tháng</t>
  </si>
  <si>
    <t xml:space="preserve">Mean năm (×12)</t>
  </si>
  <si>
    <t xml:space="preserve">return vnindex </t>
  </si>
  <si>
    <t xml:space="preserve">SUMMARY OUTPUT</t>
  </si>
  <si>
    <t xml:space="preserve">Std năm (×√12)</t>
  </si>
  <si>
    <t xml:space="preserve">CAGR 05/2021-08/2026</t>
  </si>
  <si>
    <t xml:space="preserve">Regression Statistics</t>
  </si>
  <si>
    <t xml:space="preserve">Multiple R</t>
  </si>
  <si>
    <t xml:space="preserve">R Square</t>
  </si>
  <si>
    <t xml:space="preserve">Sửa 02/10 (#18): cột A bị lỗi autodate — nhãn "Mmm-YY" bị hiểu thành ngày Mmm-DD/2026 (năm thật nằm ở ô ngày).</t>
  </si>
  <si>
    <t xml:space="preserve">Adjusted R Square</t>
  </si>
  <si>
    <t xml:space="preserve">Đã đổi thành ngày 1 của tháng thật: tháng giữ nguyên, năm = 2000 + số ngày cũ. Chuỗi: 05/2021 → 08/2026, giảm dần.</t>
  </si>
  <si>
    <t xml:space="preserve">Standard Error</t>
  </si>
  <si>
    <t xml:space="preserve">E6 = 14,2% (gõ tay) và khối hồi quy G6:O23 (lỗi định dạng số locale, VD Multiple R = 622.139) KHÔNG dùng; dùng Q5-Q7.</t>
  </si>
  <si>
    <t xml:space="preserve">Observations</t>
  </si>
  <si>
    <t xml:space="preserve">Ô C65 báo lỗi chia 0 là lỗi CỐ Ý của team (xem comment) — giữ nguyên, không nằm trong vùng tính.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</si>
  <si>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</si>
  <si>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</si>
  <si>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</si>
  <si>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</si>
  <si>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</si>
  <si>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</si>
  <si>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</si>
  <si>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3.662.546.902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</si>
  <si>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</si>
  <si>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</si>
  <si>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</si>
  <si>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</si>
  <si>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</si>
  <si>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</si>
  <si>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</si>
  <si>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</si>
  <si>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</si>
  <si>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</si>
  <si>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125.219.955</t>
  </si>
  <si>
    <t xml:space="preserve">X Variable 1</t>
  </si>
  <si>
    <t xml:space="preserve">1.112.201</t>
  </si>
  <si>
    <t xml:space="preserve">6.051.898</t>
  </si>
  <si>
    <t xml:space="preserve">1.480.071</t>
  </si>
  <si>
    <t xml:space="preserve">LSHĐ_VND - Kỳ hạn &lt; 1 tháng - Cao nhất (M)
Đơn vị: %</t>
  </si>
  <si>
    <t xml:space="preserve">LSHĐ_VND - Kỳ hạn 6 - 12 tháng - Cao nhất (M)
Đơn vị: %</t>
  </si>
  <si>
    <t xml:space="preserve">LSHĐ_VND - Kỳ hạn &gt; 12 tháng - Cao nhất (M)
Đơn vị: %</t>
  </si>
  <si>
    <t xml:space="preserve">&gt;12 tháng</t>
  </si>
  <si>
    <t xml:space="preserve">6-12 tháng (chứa kỳ hạn 12T)</t>
  </si>
  <si>
    <t xml:space="preserve">6-12 tháng: Std</t>
  </si>
  <si>
    <t xml:space="preserve">6-12 tháng: Mean</t>
  </si>
  <si>
    <t xml:space="preserve">Ghi chú 02/10 (#20): cả 3 cột là mức CAO NHẤT thị trường → là CẬN TRÊN, không phải bình quân.</t>
  </si>
  <si>
    <t xml:space="preserve">Đối chiếu: DIV (27/01/2026) — NH dẫn đầu niêm yết 7,0-7,2%/năm kỳ hạn 12 tháng → khớp mức cao nhất 2026 ở đây.</t>
  </si>
  <si>
    <t xml:space="preserve">Nguồn: https://div.gov.vn/lai-suat-tiet-kiem-tang-trong-tam-kiem-soat-mt-bang-cho-vay-du-kien-tiep-tuc-on-dinh</t>
  </si>
  <si>
    <t xml:space="preserve">Kênh savings trong model dùng chuỗi 6-12 tháng (I7, I8).</t>
  </si>
  <si>
    <t xml:space="preserve">Biểu đồ (chart) lãi suất tiết kiệm (lãi suất tiền gửi/huy động)</t>
  </si>
  <si>
    <t xml:space="preserve">Year</t>
  </si>
  <si>
    <t xml:space="preserve">Tăng trưởng/năm (quy đổi)</t>
  </si>
  <si>
    <t xml:space="preserve">Thống kê đúng (02/10)</t>
  </si>
  <si>
    <t xml:space="preserve">Mean 2019-2024 (hằng năm)</t>
  </si>
  <si>
    <t xml:space="preserve">Std 2019-2024 (hằng năm)</t>
  </si>
  <si>
    <t xml:space="preserve">Mean 2010-2024 (quy đổi)</t>
  </si>
  <si>
    <t xml:space="preserve">Std 2010-2024 (quy đổi)</t>
  </si>
  <si>
    <t xml:space="preserve">CAGR 2010-2024</t>
  </si>
  <si>
    <t xml:space="preserve">đồng bằng sông hồng</t>
  </si>
  <si>
    <t xml:space="preserve">Sửa 02/10 (#15): cột C cũ chia thẳng giữa các dòng, nên tăng trưởng 2 NĂM (VD +48,7% 2010→2012) bị coi như 1 năm.</t>
  </si>
  <si>
    <t xml:space="preserve">Cột D quy về mỗi năm: (B_t/B_t-1)^(1/số năm)-1. Model dùng H2/H3 (giai đoạn đo hằng năm, n=6).</t>
  </si>
  <si>
    <t xml:space="preserve">Đã xác nhận (07/10): chuỗi Đồng bằng sông Hồng, NSO KSMS 2024 trang 283. Đối chiếu: repo dùng NSO cả nước 2019-2024 → 4,87% ± 5,68%.</t>
  </si>
  <si>
    <t xml:space="preserve">Danh nghĩa (có lạm phát), thu nhập đầu người/tháng. Có 2 năm COVID (2020-2021).</t>
  </si>
  <si>
    <t xml:space="preserve">https://www.nso.gov.vn/wp-content/uploads/2026/03/Sach-Khao-sat-muc-song-dan-cu-2024.pdf</t>
  </si>
  <si>
    <t xml:space="preserve">Avg. primary price (USD/m², sơ cấp)</t>
  </si>
  <si>
    <t xml:space="preserve">CAGR 2016-2025</t>
  </si>
  <si>
    <t xml:space="preserve">CAGR 2016-2020</t>
  </si>
  <si>
    <t xml:space="preserve">CAGR 2020-</t>
  </si>
  <si>
    <t xml:space="preserve">https://cafef.vn/nhin-lai-10-nam-bds-ha-noi-gia-can-ho-tang-gan-300-thi-truong-chuan-bi-da-cuc-hoa-18826042315173533.chn</t>
  </si>
  <si>
    <t xml:space="preserve">https://cloud.comm.cushmanwakefield.com/Hanoi_realestate_market_review?</t>
  </si>
  <si>
    <t xml:space="preserve">Tăng trưởng YoY</t>
  </si>
  <si>
    <t xml:space="preserve">Std YoY 2017-2025</t>
  </si>
  <si>
    <t xml:space="preserve">Sửa 02/10 (#24): ghi đơn vị (USD/m², giá SƠ CẤP bình quân Hà Nội — theo bài CafeF/C&amp;W; nhóm kiểm tra lại đơn vị trong bài gốc).</t>
  </si>
  <si>
    <t xml:space="preserve">Std YoY ~14% là dao động TỪNG NĂM. Model rút tăng giá 1 lần/đường (per_path) nên σ dùng là 4% (≈ bất định của mức TB 30 năm, 14%/√30 ≈ 2,6%).</t>
  </si>
  <si>
    <t xml:space="preserve">Đối chiếu thị trường thứ cấp: Global Property Guide Q2/2026 +13%/năm (https://www.globalpropertyguide.com/asia/vietnam/price-history).</t>
  </si>
  <si>
    <t xml:space="preserve">Tên ngân hàng</t>
  </si>
  <si>
    <t xml:space="preserve">Gói cho vay</t>
  </si>
  <si>
    <t xml:space="preserve">Loan value</t>
  </si>
  <si>
    <t xml:space="preserve">Thời hạn cho vay</t>
  </si>
  <si>
    <t xml:space="preserve">Ghi chú (02/10)</t>
  </si>
  <si>
    <t xml:space="preserve">VCB</t>
  </si>
  <si>
    <t xml:space="preserve">Vay mua nhà ở đất ở</t>
  </si>
  <si>
    <t xml:space="preserve">VCB: 100% (gói Vay mua nhà ở đất ở)</t>
  </si>
  <si>
    <t xml:space="preserve">Nhà mới thành đạt</t>
  </si>
  <si>
    <t xml:space="preserve">40 năm</t>
  </si>
  <si>
    <t xml:space="preserve">VCB: 70% → dùng cho kịch bản Downturn (worst case)</t>
  </si>
  <si>
    <t xml:space="preserve">Best case</t>
  </si>
  <si>
    <t xml:space="preserve">Vay mua nhà dự án </t>
  </si>
  <si>
    <t xml:space="preserve">30 năm</t>
  </si>
  <si>
    <t xml:space="preserve">VCB: 100% (gói nhà dự án) → cùng BIDV, Vietinbank làm căn cứ Boom</t>
  </si>
  <si>
    <t xml:space="preserve">Base case</t>
  </si>
  <si>
    <t xml:space="preserve">BIDV</t>
  </si>
  <si>
    <t xml:space="preserve">Vay nhu cầu nhà ở</t>
  </si>
  <si>
    <t xml:space="preserve">Worst case</t>
  </si>
  <si>
    <t xml:space="preserve">Agribank</t>
  </si>
  <si>
    <t xml:space="preserve">Vay mua nhà ở cho người trẻ tuổi</t>
  </si>
  <si>
    <t xml:space="preserve">"5 tỉ" là HẠN MỨC vay, không phải tỷ lệ LTV → đã chuyển khỏi cột Loan value; LTV gói này cần tra lại.</t>
  </si>
  <si>
    <t xml:space="preserve">Vietinbank</t>
  </si>
  <si>
    <t xml:space="preserve">Cho vay nhận quyền sử dụng đất, mua, xây dựng, sửa chữa nhà và/hoặc công trình xây dựng</t>
  </si>
  <si>
    <t xml:space="preserve">35 năm</t>
  </si>
  <si>
    <t xml:space="preserve">MB BANK</t>
  </si>
  <si>
    <t xml:space="preserve">Mua nhà đất thổ cư cho người trẻ</t>
  </si>
  <si>
    <t xml:space="preserve">Gói "người trẻ" 35 năm khác gói Vạn Phúc → không ghép vào bộ tham số Vạn Phúc</t>
  </si>
  <si>
    <t xml:space="preserve">MB BANK – CN Vạn Phúc</t>
  </si>
  <si>
    <t xml:space="preserve">Vay mua nhà đất, chung cư (văn bản CN Vạn Phúc)</t>
  </si>
  <si>
    <t xml:space="preserve">30 năm (360 tháng)</t>
  </si>
  <si>
    <t xml:space="preserve">Nguồn: ảnh văn bản gốc MB CN Vạn Phúc (docs/assets/mb-bank-rate-sheet.png) — BASE CASE 80%</t>
  </si>
  <si>
    <t xml:space="preserve">Thời gian </t>
  </si>
  <si>
    <t xml:space="preserve">Ngân hàng</t>
  </si>
  <si>
    <t xml:space="preserve">Lãi suất</t>
  </si>
  <si>
    <t xml:space="preserve">Loại lãi</t>
  </si>
  <si>
    <t xml:space="preserve">Q3/2026</t>
  </si>
  <si>
    <t xml:space="preserve">Link</t>
  </si>
  <si>
    <t xml:space="preserve">Chưa xác định</t>
  </si>
  <si>
    <t xml:space="preserve">Link là gói ưu đãi "Ngôi nhà đầu tiên" → kiểm tra 10% là lãi ưu đãi hay sau ưu đãi</t>
  </si>
  <si>
    <t xml:space="preserve">Link là gói Nhà mới thành đạt → nhiều khả năng lãi ưu đãi; kiểm tra kỳ hạn cố định</t>
  </si>
  <si>
    <t xml:space="preserve">Agri</t>
  </si>
  <si>
    <t xml:space="preserve">Kiểm tra kỳ hạn cố định của 8,52%</t>
  </si>
  <si>
    <t xml:space="preserve">Q2/2026</t>
  </si>
  <si>
    <t xml:space="preserve">MB – CN Vạn Phúc</t>
  </si>
  <si>
    <t xml:space="preserve">Ảnh văn bản gốc</t>
  </si>
  <si>
    <t xml:space="preserve">Ưu đãi cố định 6 tháng</t>
  </si>
  <si>
    <t xml:space="preserve">Ưu đãi cố định 12 tháng</t>
  </si>
  <si>
    <t xml:space="preserve">Ưu đãi cố định 18 tháng</t>
  </si>
  <si>
    <t xml:space="preserve">Ưu đãi cố định 24 tháng</t>
  </si>
  <si>
    <t xml:space="preserve">MB sau ưu đãi</t>
  </si>
  <si>
    <t xml:space="preserve">Lãi tham chiếu + 1,5% (năm đầu sau ưu đãi), + 3,5% (các năm sau); điều chỉnh 3 tháng/lần. Lãi tham chiếu: xem sheet Lai_tham_chieu</t>
  </si>
  <si>
    <t xml:space="preserve">Sửa 02/10 (#21): thêm 4 mức ưu đãi MB (A10:E13) và cột Loại lãi để không trộn lãi ưu đãi với lãi thả nổi.</t>
  </si>
  <si>
    <t xml:space="preserve">Phương án</t>
  </si>
  <si>
    <t xml:space="preserve">Giá trị (%/năm)</t>
  </si>
  <si>
    <t xml:space="preserve">Lãi thả nổi năm đầu sau ưu đãi</t>
  </si>
  <si>
    <t xml:space="preserve">Từ năm sau</t>
  </si>
  <si>
    <t xml:space="preserve">Nguồn / trạng thái</t>
  </si>
  <si>
    <t xml:space="preserve">Cách tính</t>
  </si>
  <si>
    <t xml:space="preserve">CHỐT (08/10) – ngoại suy từ lãi thả nổi thị trường</t>
  </si>
  <si>
    <t xml:space="preserve">Thanh Niên 25/08/2026: https://thanhnien.vn/nguoi-vay-mua-nha-dang-chiu-lai-suat-bao-nhieu-185260825101722042.htm ; Dân trí 24/08/2026: https://dantri.com.vn/kinh-doanh/lai-suat-tha-noi-tren-14nam-ngan-hang-giam-cho-vay-mua-nha-20260823171410442.htm</t>
  </si>
  <si>
    <t xml:space="preserve">Lãi thả nổi thị trường 13–15%/năm − biên độ MB 3,5% = 9,5–11,5%; điểm giữa 10,5%. Độ nhạy 9,5–11,5%</t>
  </si>
  <si>
    <t xml:space="preserve">Đối chiếu – VCB lãi cho vay bình quân 06/2026</t>
  </si>
  <si>
    <t xml:space="preserve">https://www.vietcombank.com.vn/-/media/Project/VCB-Sites/VCB/Tin-tuc/2026/Vietcombank/Vietcombank_202607/Vietcombank_20260721/20260729_Thong-bao-lai-suat-2026-thang-6.pdf</t>
  </si>
  <si>
    <t xml:space="preserve">Lãi cho vay bình quân MỌI khoản vay, không phải lãi tham chiếu vay mua nhà</t>
  </si>
  <si>
    <t xml:space="preserve">Đối chiếu – NHNN lãi cho vay mới bình quân 11/2025</t>
  </si>
  <si>
    <t xml:space="preserve">DIV 27/01/2026: https://div.gov.vn/lai-suat-tiet-kiem-tang-trong-tam-kiem-soat-mt-bang-cho-vay-du-kien-tiep-tuc-on-dinh</t>
  </si>
  <si>
    <t xml:space="preserve">Lãi cho vay MỌI mục đích, chỉ đối chiếu</t>
  </si>
  <si>
    <t xml:space="preserve">Biên độ năm đầu sau ưu đãi (MB)</t>
  </si>
  <si>
    <t xml:space="preserve">Biên độ các năm sau (MB)</t>
  </si>
  <si>
    <t xml:space="preserve">Mặt bằng lãi thả nổi thị trường 08/2026</t>
  </si>
  <si>
    <t xml:space="preserve">12–15%/năm (Thanh Niên, Dân trí)</t>
  </si>
  <si>
    <t xml:space="preserve">TRẠNG THÁI: CHỐT 10,5% (nhóm quyết 08/10; số ngoại suy). Văn bản MB CN Vạn Phúc không ghi giá trị lãi tham chiếu nên vẫn nên xác nhận với chuyên viên MB (Hạn chế #5).</t>
  </si>
  <si>
    <t xml:space="preserve">10,5% → thả nổi 12% năm đầu sau ưu đãi, 14% các năm sau; nằm trong mặt bằng 12–15% tháng 8/2026. Monte Carlo rút σ = 0,75 điểm % quanh 10,5%.</t>
  </si>
  <si>
    <t xml:space="preserve">Đối chiếu bộ số trong Excel với FINAL PRODUCT V5 (index.html)</t>
  </si>
  <si>
    <t xml:space="preserve">Xanh dương = số gõ tay từ index.html (FIN_ASSUMPTIONS, MC_SETTINGS, SCENARIOS); xanh lá = lấy từ sheet khác; đen = công thức. Số trong code làm tròn 2 chữ số nên sai số cho phép 0,0051.</t>
  </si>
  <si>
    <t xml:space="preserve">Số dòng LỆCH:</t>
  </si>
  <si>
    <t xml:space="preserve">(đếm cả hai bảng; cột "Giá trị trong Excel" của bảng 1 là công thức nối từ các sheet khác)</t>
  </si>
  <si>
    <t xml:space="preserve">Tham số (key trong code)</t>
  </si>
  <si>
    <t xml:space="preserve">Đơn vị trong code</t>
  </si>
  <si>
    <t xml:space="preserve">Giá trị trong Excel (đổi sang đơn vị code)</t>
  </si>
  <si>
    <t xml:space="preserve">Giá trị trong index.html V5</t>
  </si>
  <si>
    <t xml:space="preserve">Sai số cho phép</t>
  </si>
  <si>
    <t xml:space="preserve">Kết quả</t>
  </si>
  <si>
    <t xml:space="preserve">Ô nguồn trong Excel</t>
  </si>
  <si>
    <t xml:space="preserve">%</t>
  </si>
  <si>
    <t xml:space="preserve">tong_hop!B5</t>
  </si>
  <si>
    <t xml:space="preserve">tong_hop!B6</t>
  </si>
  <si>
    <t xml:space="preserve">tong_hop!B7</t>
  </si>
  <si>
    <t xml:space="preserve">tong_hop!B8</t>
  </si>
  <si>
    <t xml:space="preserve">tong_hop!B11</t>
  </si>
  <si>
    <t xml:space="preserve">tong_hop!B9</t>
  </si>
  <si>
    <t xml:space="preserve">tong_hop!B10</t>
  </si>
  <si>
    <t xml:space="preserve">tháng</t>
  </si>
  <si>
    <t xml:space="preserve">tong_hop!B13</t>
  </si>
  <si>
    <t xml:space="preserve">max_loan_to_value_pct (Stable)</t>
  </si>
  <si>
    <t xml:space="preserve">Kich_ban!C6</t>
  </si>
  <si>
    <t xml:space="preserve">max_borrower_age</t>
  </si>
  <si>
    <t xml:space="preserve">tuổi</t>
  </si>
  <si>
    <t xml:space="preserve">tong_hop!B17</t>
  </si>
  <si>
    <t xml:space="preserve">max_term_by_bank_months</t>
  </si>
  <si>
    <t xml:space="preserve">tong_hop!B16</t>
  </si>
  <si>
    <t xml:space="preserve">tong_hop!B18</t>
  </si>
  <si>
    <t xml:space="preserve">investment_channels.savings.return_pct</t>
  </si>
  <si>
    <t xml:space="preserve">tong_hop!B23</t>
  </si>
  <si>
    <t xml:space="preserve">investment_channels.bonds.return_pct</t>
  </si>
  <si>
    <t xml:space="preserve">tong_hop!B25</t>
  </si>
  <si>
    <t xml:space="preserve">investment_channels.gold.return_pct</t>
  </si>
  <si>
    <t xml:space="preserve">tong_hop!B26</t>
  </si>
  <si>
    <t xml:space="preserve">investment_channels.stocks.return_pct</t>
  </si>
  <si>
    <t xml:space="preserve">tong_hop!B24</t>
  </si>
  <si>
    <t xml:space="preserve">property_appreciation_start_pct</t>
  </si>
  <si>
    <t xml:space="preserve">Kich_ban!C7</t>
  </si>
  <si>
    <t xml:space="preserve">property_appreciation_longrun_pct</t>
  </si>
  <si>
    <t xml:space="preserve">Kich_ban!C8</t>
  </si>
  <si>
    <t xml:space="preserve">property_appreciation_tau_years</t>
  </si>
  <si>
    <t xml:space="preserve">năm</t>
  </si>
  <si>
    <t xml:space="preserve">Kich_ban!C9</t>
  </si>
  <si>
    <t xml:space="preserve">tong_hop!B21</t>
  </si>
  <si>
    <t xml:space="preserve">living_cost_annual_growth_pct</t>
  </si>
  <si>
    <t xml:space="preserve">tong_hop!B22</t>
  </si>
  <si>
    <t xml:space="preserve">Kich_ban!C10</t>
  </si>
  <si>
    <t xml:space="preserve">service_fee_vnd_per_m2</t>
  </si>
  <si>
    <t xml:space="preserve">đ/m²/tháng</t>
  </si>
  <si>
    <t xml:space="preserve">tong_hop!B36</t>
  </si>
  <si>
    <t xml:space="preserve">owner_upkeep_pct</t>
  </si>
  <si>
    <t xml:space="preserve">tong_hop!B37</t>
  </si>
  <si>
    <t xml:space="preserve">fire_insurance_pct</t>
  </si>
  <si>
    <t xml:space="preserve">tong_hop!B38</t>
  </si>
  <si>
    <t xml:space="preserve">selling_cost_pct</t>
  </si>
  <si>
    <t xml:space="preserve">tong_hop!B39</t>
  </si>
  <si>
    <t xml:space="preserve">mc_shock_correlation</t>
  </si>
  <si>
    <t xml:space="preserve">ρ</t>
  </si>
  <si>
    <t xml:space="preserve">tong_hop!B41</t>
  </si>
  <si>
    <t xml:space="preserve">MC_SETTINGS.sigma.float_ref</t>
  </si>
  <si>
    <t xml:space="preserve">điểm %</t>
  </si>
  <si>
    <t xml:space="preserve">tong_hop!C11</t>
  </si>
  <si>
    <t xml:space="preserve">MC_SETTINGS.sigma.property</t>
  </si>
  <si>
    <t xml:space="preserve">tong_hop!C19</t>
  </si>
  <si>
    <t xml:space="preserve">MC_SETTINGS.sigma.rent</t>
  </si>
  <si>
    <t xml:space="preserve">tong_hop!C20</t>
  </si>
  <si>
    <t xml:space="preserve">MC_SETTINGS.sigma.income</t>
  </si>
  <si>
    <t xml:space="preserve">tong_hop!C21</t>
  </si>
  <si>
    <t xml:space="preserve">MC_SETTINGS.channel_sigma.savings</t>
  </si>
  <si>
    <t xml:space="preserve">tong_hop!C23</t>
  </si>
  <si>
    <t xml:space="preserve">MC_SETTINGS.channel_sigma.bonds</t>
  </si>
  <si>
    <t xml:space="preserve">tong_hop!C25</t>
  </si>
  <si>
    <t xml:space="preserve">MC_SETTINGS.channel_sigma.gold</t>
  </si>
  <si>
    <t xml:space="preserve">tong_hop!C26</t>
  </si>
  <si>
    <t xml:space="preserve">MC_SETTINGS.channel_sigma.stocks</t>
  </si>
  <si>
    <t xml:space="preserve">tong_hop!C24</t>
  </si>
  <si>
    <t xml:space="preserve">SCENARIOS.boom.interest_rate_float_ref_pct</t>
  </si>
  <si>
    <t xml:space="preserve">Kich_ban!B5</t>
  </si>
  <si>
    <t xml:space="preserve">SCENARIOS.downturn.interest_rate_float_ref_pct</t>
  </si>
  <si>
    <t xml:space="preserve">Kich_ban!D5</t>
  </si>
  <si>
    <t xml:space="preserve">SCENARIOS.downturn.max_loan_to_value_pct</t>
  </si>
  <si>
    <t xml:space="preserve">Kich_ban!D6</t>
  </si>
  <si>
    <t xml:space="preserve">SCENARIOS.boom.property_appreciation_tau_years</t>
  </si>
  <si>
    <t xml:space="preserve">Kich_ban!B9</t>
  </si>
  <si>
    <t xml:space="preserve">SCENARIOS.downturn.property_appreciation_start_pct</t>
  </si>
  <si>
    <t xml:space="preserve">Kich_ban!D7</t>
  </si>
  <si>
    <t xml:space="preserve">SCENARIOS.boom.rent_annual_growth_pct</t>
  </si>
  <si>
    <t xml:space="preserve">Kich_ban!B10</t>
  </si>
  <si>
    <t xml:space="preserve">SCENARIOS.downturn.rent_annual_growth_pct</t>
  </si>
  <si>
    <t xml:space="preserve">Kich_ban!D10</t>
  </si>
  <si>
    <t xml:space="preserve">SCENARIOS.boom.income_annual_growth_pct</t>
  </si>
  <si>
    <t xml:space="preserve">Kich_ban!B11</t>
  </si>
  <si>
    <t xml:space="preserve">SCENARIOS.downturn.income_annual_growth_pct</t>
  </si>
  <si>
    <t xml:space="preserve">Kich_ban!D11</t>
  </si>
  <si>
    <t xml:space="preserve">SCENARIOS.boom.channel_returns.savings</t>
  </si>
  <si>
    <t xml:space="preserve">Kich_ban!B13</t>
  </si>
  <si>
    <t xml:space="preserve">SCENARIOS.boom.channel_returns.bonds</t>
  </si>
  <si>
    <t xml:space="preserve">Kich_ban!B14</t>
  </si>
  <si>
    <t xml:space="preserve">SCENARIOS.downturn.channel_returns.savings</t>
  </si>
  <si>
    <t xml:space="preserve">Kich_ban!D13</t>
  </si>
  <si>
    <t xml:space="preserve">SCENARIOS.downturn.channel_returns.bonds</t>
  </si>
  <si>
    <t xml:space="preserve">Kich_ban!D14</t>
  </si>
  <si>
    <t xml:space="preserve">Số liệu listing: plan v5 so với tính lại từ BUY_LISTINGS / RENT_LISTINGS nhúng trong index.html (24/10/2026, bằng script)</t>
  </si>
  <si>
    <t xml:space="preserve">Chỉ tiêu</t>
  </si>
  <si>
    <t xml:space="preserve">Đơn vị</t>
  </si>
  <si>
    <t xml:space="preserve">Số trong plan v5 (gõ tay)</t>
  </si>
  <si>
    <t xml:space="preserve">Tính lại từ index.html</t>
  </si>
  <si>
    <t xml:space="preserve">Số trong plan v5</t>
  </si>
  <si>
    <t xml:space="preserve">Số tin mua (BUY)</t>
  </si>
  <si>
    <t xml:space="preserve">tin</t>
  </si>
  <si>
    <t xml:space="preserve">A. Data</t>
  </si>
  <si>
    <t xml:space="preserve">Số tin thuê (RENT)</t>
  </si>
  <si>
    <t xml:space="preserve">Trung vị diện tích tin mua</t>
  </si>
  <si>
    <t xml:space="preserve">m²</t>
  </si>
  <si>
    <t xml:space="preserve">B2.1</t>
  </si>
  <si>
    <t xml:space="preserve">Trung vị diện tích tin thuê</t>
  </si>
  <si>
    <t xml:space="preserve">Trung vị tiền thuê</t>
  </si>
  <si>
    <t xml:space="preserve">đ/tháng</t>
  </si>
  <si>
    <t xml:space="preserve">B4</t>
  </si>
  <si>
    <t xml:space="preserve">Tổ hợp tòa × size band bên MUA (tổng)</t>
  </si>
  <si>
    <t xml:space="preserve">tổ hợp</t>
  </si>
  <si>
    <t xml:space="preserve">B2 bước 2</t>
  </si>
  <si>
    <t xml:space="preserve">… trong đó chỉ có 1 tin</t>
  </si>
  <si>
    <t xml:space="preserve">Tổ hợp tòa × size band bên THUÊ (tổng)</t>
  </si>
  <si>
    <t xml:space="preserve">Số tòa có cả tin mua và tin thuê</t>
  </si>
  <si>
    <t xml:space="preserve">tòa</t>
  </si>
  <si>
    <t xml:space="preserve">Trung vị lợi suất cho thuê năm 0 (71 tòa)</t>
  </si>
  <si>
    <t xml:space="preserve">Trung vị giá mua/m²</t>
  </si>
  <si>
    <t xml:space="preserve">triệu đ/m²</t>
  </si>
  <si>
    <t xml:space="preserve">B2 bước 3 (~85 triệu)</t>
  </si>
  <si>
    <t xml:space="preserve">Trung vị tiền thuê/m²</t>
  </si>
  <si>
    <t xml:space="preserve">nghìn đ/m²/tháng</t>
  </si>
  <si>
    <t xml:space="preserve">B2 bước 3 (~190 nghìn)</t>
  </si>
  <si>
    <t xml:space="preserve">Nhật ký sửa v4 → v6 (09/10/2026, khớp Final Plan v5 và FINAL PRODUCT V5)</t>
  </si>
  <si>
    <t xml:space="preserve">Vị trí</t>
  </si>
  <si>
    <t xml:space="preserve">Trước (v4)</t>
  </si>
  <si>
    <t xml:space="preserve">Sau (v6)</t>
  </si>
  <si>
    <t xml:space="preserve">Căn cứ</t>
  </si>
  <si>
    <t xml:space="preserve">FIN_ASSUMPTIONS_tong_hop!A1</t>
  </si>
  <si>
    <t xml:space="preserve">FIN_ASSUMPTIONS — bộ số sau khi sửa (02/10/2026)</t>
  </si>
  <si>
    <t xml:space="preserve">Đồng bộ ngày và phiên bản với plan v5</t>
  </si>
  <si>
    <t xml:space="preserve">FIN_ASSUMPTIONS_tong_hop!F18</t>
  </si>
  <si>
    <t xml:space="preserve">"MVP: chỉ dùng trong kiểm tra minDownPayment…"</t>
  </si>
  <si>
    <t xml:space="preserve">Ghi rõ dùng ở B4 và dpLimit Plan B; thêm lưu ý căn bán lại ~0,56%</t>
  </si>
  <si>
    <t xml:space="preserve">Plan v5 B3, B4, B2.1 và mục "Bổ sung" cuối Hạn chế</t>
  </si>
  <si>
    <t xml:space="preserve">FIN_ASSUMPTIONS_tong_hop!E20:F20</t>
  </si>
  <si>
    <t xml:space="preserve">ĐỀ XUẤT | VnExpress 08/2025: 5-10% một số dự án, 10-15% nhiều chung cư; repo: đi…</t>
  </si>
  <si>
    <t xml:space="preserve">CHỐT (09/10) + giải thích vì sao 6%, σ 1,25</t>
  </si>
  <si>
    <t xml:space="preserve">Plan v5 B3 mục "Tăng giá thuê: vì sao base 6%/năm"; câu hỏi mở #4 đã chốt 09/10</t>
  </si>
  <si>
    <t xml:space="preserve">FIN_ASSUMPTIONS_tong_hop!F28</t>
  </si>
  <si>
    <t xml:space="preserve">(không nhắc smooth_safe_level)</t>
  </si>
  <si>
    <t xml:space="preserve">Thêm ghi chú V3 smooth_safe_level</t>
  </si>
  <si>
    <t xml:space="preserve">Plan v5 B3 hàng safety_margin_min_pct; code getSafetyMarginMinPctSmooth</t>
  </si>
  <si>
    <t xml:space="preserve">FIN_ASSUMPTIONS_tong_hop!F34</t>
  </si>
  <si>
    <t xml:space="preserve">(chỉ nhãn rủi ro)</t>
  </si>
  <si>
    <t xml:space="preserve">Thêm định nghĩa Comfortable / Tight / Not safe (ngưỡng 5 điểm %)</t>
  </si>
  <si>
    <t xml:space="preserve">Plan v5 B9 mục A.1; code TIGHT_BELOW_POINTS = 0.05</t>
  </si>
  <si>
    <t xml:space="preserve">FIN_ASSUMPTIONS_tong_hop!B35,F35</t>
  </si>
  <si>
    <t xml:space="preserve">1.000 lần (bản nộp 10.000); độ nhạy 500 lần/dòng; seed cố định</t>
  </si>
  <si>
    <t xml:space="preserve">Plan v5 B8 và B7.1 (17 dòng độ nhạy); code MC_SETTINGS.seed = 20260909</t>
  </si>
  <si>
    <t xml:space="preserve">FIN_ASSUMPTIONS_tong_hop!A36:F42</t>
  </si>
  <si>
    <t xml:space="preserve">(chưa có)</t>
  </si>
  <si>
    <t xml:space="preserve">7 dòng mới: phí dịch vụ 10.000 đ/m²; sửa chữa 0; bảo hiểm 0,05%; chi phí bán 1,5%; thuế TNCN 0%; ρ = 0; smooth_safe_level tắt</t>
  </si>
  <si>
    <t xml:space="preserve">Plan v5 B3 bảng "Chi chí vận hành và bán (V3)", B4.1, B7.1, B8; code FIN_ASSUMPTIONS</t>
  </si>
  <si>
    <t xml:space="preserve">Kich_ban_do_nhay!A1</t>
  </si>
  <si>
    <t xml:space="preserve">Kịch bản Boom / Stable / Downturn và độ nhạy (chốt 07/10/2026)</t>
  </si>
  <si>
    <t xml:space="preserve">Plan v5 B7, B7.1</t>
  </si>
  <si>
    <t xml:space="preserve">Kich_ban_do_nhay!A17:F17, A19</t>
  </si>
  <si>
    <t xml:space="preserve">Thêm dòng chi phí giữ nhà/bán giữ nguyên ở 3 kịch bản (giá trị khớp tổng hợp dòng 36–40, được kiểm ở sheet Doi_chieu_index_html) và ghi 3 nguyên tắc kịch bản</t>
  </si>
  <si>
    <t xml:space="preserve">Plan v5 B7</t>
  </si>
  <si>
    <t xml:space="preserve">Kich_ban_do_nhay!A66:E70</t>
  </si>
  <si>
    <t xml:space="preserve">5 dòng độ nhạy mới: phí dịch vụ, sửa chữa, chi phí bán, ρ, ngưỡng an toàn</t>
  </si>
  <si>
    <t xml:space="preserve">Plan v5 B7.1; code SENSITIVITY_ROWS (16 dòng)</t>
  </si>
  <si>
    <t xml:space="preserve">Kich_ban_do_nhay!A67:B67 → A72:B72</t>
  </si>
  <si>
    <t xml:space="preserve">Ô trợ giúp "Thu nhập TB 2020–2021" ở B67</t>
  </si>
  <si>
    <t xml:space="preserve">Chuyển sang B72, sửa chú thích ở D65</t>
  </si>
  <si>
    <t xml:space="preserve">Nhường chỗ cho dòng độ nhạy mới; công thức không đổi</t>
  </si>
  <si>
    <t xml:space="preserve">Lai_tham_chieu!A2, A11</t>
  </si>
  <si>
    <t xml:space="preserve">ĐỀ XUẤT – ngoại suy từ lãi thả nổi thị trường | TRẠNG THÁI: ĐỀ XUẤT 10,5% (ngoại suy). Văn bản MB …</t>
  </si>
  <si>
    <t xml:space="preserve">CHỐT (08/10) – ngoại suy 10,5%</t>
  </si>
  <si>
    <t xml:space="preserve">Plan v5 B3 (interest_rate_float_ref_pct CHỐT 08/10), câu hỏi mở #1</t>
  </si>
  <si>
    <t xml:space="preserve">VNIndex return - npp!C65</t>
  </si>
  <si>
    <t xml:space="preserve">Công thức B65/B66-1 báo lỗi chia cho 0 (tháng cũ nhất 05/2021 không có tháng trước)</t>
  </si>
  <si>
    <t xml:space="preserve">Để trống</t>
  </si>
  <si>
    <t xml:space="preserve">Lỗi có sẵn từ v4; thống kê Q3:Q6 chỉ dùng C2:C64 nên số không đổi</t>
  </si>
  <si>
    <t xml:space="preserve">Doi_chieu_index_html (sheet mới)</t>
  </si>
  <si>
    <t xml:space="preserve">48 tham số của index.html V5 đối chiếu với Excel + 13 số listing tính lại từ dữ liệu nhúng</t>
  </si>
  <si>
    <t xml:space="preserve">Kiểm tra Excel khớp code; kết quả cột F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</si>
</sst>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#,##0"/>
    <numFmt numFmtId="167" formatCode="0.0%"/>
    <numFmt numFmtId="168" formatCode="0.0"/>
    <numFmt numFmtId="169" formatCode="0.00"/>
    <numFmt numFmtId="170" formatCode="0.0\×"/>
    <numFmt numFmtId="171" formatCode="mm/dd/yyyy"/>
    <numFmt numFmtId="172" formatCode="m/d/yyyy"/>
    <numFmt numFmtId="173" formatCode="#,##0.00"/>
    <numFmt numFmtId="174" formatCode="mm/yyyy"/>
    <numFmt numFmtId="175" formatCode="0.00E+00"/>
    <numFmt numFmtId="176" formatCode="#,##0;\(#,##0\)"/>
    <numFmt numFmtId="177" formatCode="0%"/>
    <numFmt numFmtId="178" formatCode="0.0000"/>
    <numFmt numFmtId="179" formatCode="#,##0.##"/>
  </numFmts>
  <fonts count="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7F7F7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8"/>
      <color theme="1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sz val="11"/>
      <color rgb="FF000000"/>
      <name val="&quot;Aptos Narrow&quot;"/>
      <family val="0"/>
      <charset val="1"/>
    </font>
    <font>
      <i val="true"/>
      <sz val="11"/>
      <color rgb="FF000000"/>
      <name val="&quot;Aptos Narrow&quot;"/>
      <family val="0"/>
      <charset val="1"/>
    </font>
    <font>
      <sz val="10"/>
      <name val="Arial"/>
      <family val="2"/>
    </font>
    <font>
      <b val="true"/>
      <sz val="10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u val="single"/>
      <sz val="14"/>
      <color rgb="FF0000FF"/>
      <name val="Cambria"/>
      <family val="0"/>
      <charset val="1"/>
    </font>
    <font>
      <sz val="14"/>
      <color theme="1"/>
      <name val="Arial"/>
      <family val="0"/>
      <charset val="1"/>
    </font>
    <font>
      <u val="single"/>
      <sz val="11"/>
      <color rgb="FF1155C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9E1F2"/>
      </patternFill>
    </fill>
    <fill>
      <patternFill patternType="solid">
        <fgColor rgb="FFF4CCCC"/>
        <bgColor rgb="FFD9E1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2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1155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echcombank.com/thong-tin/blog/dieu-kien-vay-the-chap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ata.worldbank.org/indicator/FP.CPI.TOTL.ZG?end=2025&amp;locations=VN&amp;start=2016&amp;view=chart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ata.worldbank.org/indicator/NY.GDP.PCAP.KD.ZG?end=2025&amp;locations=VN&amp;start=2016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vn.investing.com/indices/vn-historical-data" TargetMode="Externa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trolyluat.vn/tien-ich/bieu-do-lai-suat-tiet-kiem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s://www.nso.gov.vn/wp-content/uploads/2026/03/Sach-Khao-sat-muc-song-dan-cu-2024.pdf" TargetMode="External"/><Relationship Id="rId3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cafef.vn/nhin-lai-10-nam-bds-ha-noi-gia-can-ho-tang-gan-300-thi-truong-chuan-bi-da-cuc-hoa-18826042315173533.chn" TargetMode="External"/><Relationship Id="rId2" Type="http://schemas.openxmlformats.org/officeDocument/2006/relationships/hyperlink" Target="https://cloud.comm.cushmanwakefield.com/Hanoi_realestate_market_review?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vietcombank.com.vn/vi-VN/KHCN/SPDV/Vay/Vay-mua-nha-dat" TargetMode="External"/><Relationship Id="rId2" Type="http://schemas.openxmlformats.org/officeDocument/2006/relationships/hyperlink" Target="https://www.vietcombank.com.vn/vi-VN/KHCN/SPDV/Vay/Nha-moi-thanh-dat" TargetMode="External"/><Relationship Id="rId3" Type="http://schemas.openxmlformats.org/officeDocument/2006/relationships/hyperlink" Target="https://www.vietcombank.com.vn/vi-VN/KHCN/SPDV/Vay/Vay-mua-nha-du-an" TargetMode="External"/><Relationship Id="rId4" Type="http://schemas.openxmlformats.org/officeDocument/2006/relationships/hyperlink" Target="https://bidv.com.vn/vn/ca-nhan/san-pham-dich-vu/vay-ca-nhan/vay-nhu-cau-nha-o" TargetMode="External"/><Relationship Id="rId5" Type="http://schemas.openxmlformats.org/officeDocument/2006/relationships/hyperlink" Target="https://www.agribank.com.vn/vn/ca-nhan/san-pham-dich-vu/vay-von-agribank/vay" TargetMode="External"/><Relationship Id="rId6" Type="http://schemas.openxmlformats.org/officeDocument/2006/relationships/hyperlink" Target="https://www.vietinbank.vn/ca-nhan/san-pham-dich-vu/cho-vay/cho-vay-nhan-quyen-su-dung-dat-mua-xay-dung-sua-chua-nha-va-hoac-cong-trinh-xay-dung-30-html" TargetMode="External"/><Relationship Id="rId7" Type="http://schemas.openxmlformats.org/officeDocument/2006/relationships/hyperlink" Target="https://www.mbbank.com.vn/26/37/113/Chi-tiet/mua-nha-dat-tho-cu-chung-cu-du-an-cho-nguoi-tre-2024-6-5-17-58-30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bidv.com.vn/bidv/ca-nhan/khuyen-mai/san-pham-vay/bidv-trien-khai-goi-vay-uu-dai-ngoi-nha-dau-tien-danh-cho-khach-hang-ca-nhan" TargetMode="External"/><Relationship Id="rId2" Type="http://schemas.openxmlformats.org/officeDocument/2006/relationships/hyperlink" Target="https://www.vietcombank.com.vn/vi-VN/KHCN/SPDV/Vay/Nha-moi-thanh-dat" TargetMode="External"/><Relationship Id="rId3" Type="http://schemas.openxmlformats.org/officeDocument/2006/relationships/hyperlink" Target="https://www.agribank.com.vn/vn/lai-suat-cho-vay-agriba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95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f aca="false">'Lãi suất vay nhà - npp'!C10</f>
        <v>0.077</v>
      </c>
      <c r="E5" s="4" t="s">
        <v>9</v>
      </c>
      <c r="F5" s="3" t="s">
        <v>10</v>
      </c>
    </row>
    <row r="6" customFormat="false" ht="15" hidden="false" customHeight="true" outlineLevel="0" collapsed="false">
      <c r="A6" s="5" t="s">
        <v>11</v>
      </c>
      <c r="B6" s="6" t="n">
        <f aca="false">'Lãi suất vay nhà - npp'!C11</f>
        <v>0.083</v>
      </c>
      <c r="E6" s="4" t="s">
        <v>9</v>
      </c>
      <c r="F6" s="3" t="s">
        <v>12</v>
      </c>
    </row>
    <row r="7" customFormat="false" ht="15" hidden="false" customHeight="true" outlineLevel="0" collapsed="false">
      <c r="A7" s="5" t="s">
        <v>13</v>
      </c>
      <c r="B7" s="6" t="n">
        <f aca="false">'Lãi suất vay nhà - npp'!C12</f>
        <v>0.085</v>
      </c>
      <c r="E7" s="4" t="s">
        <v>9</v>
      </c>
      <c r="F7" s="3" t="s">
        <v>12</v>
      </c>
    </row>
    <row r="8" customFormat="false" ht="15" hidden="false" customHeight="true" outlineLevel="0" collapsed="false">
      <c r="A8" s="5" t="s">
        <v>14</v>
      </c>
      <c r="B8" s="6" t="n">
        <f aca="false">'Lãi suất vay nhà - npp'!C13</f>
        <v>0.09</v>
      </c>
      <c r="E8" s="4" t="s">
        <v>9</v>
      </c>
      <c r="F8" s="3" t="s">
        <v>12</v>
      </c>
    </row>
    <row r="9" customFormat="false" ht="15" hidden="false" customHeight="true" outlineLevel="0" collapsed="false">
      <c r="A9" s="5" t="s">
        <v>15</v>
      </c>
      <c r="B9" s="6" t="n">
        <f aca="false">Lai_tham_chieu!B7</f>
        <v>0.015</v>
      </c>
      <c r="E9" s="4" t="s">
        <v>9</v>
      </c>
      <c r="F9" s="3" t="s">
        <v>16</v>
      </c>
    </row>
    <row r="10" customFormat="false" ht="15" hidden="false" customHeight="true" outlineLevel="0" collapsed="false">
      <c r="A10" s="5" t="s">
        <v>17</v>
      </c>
      <c r="B10" s="6" t="n">
        <f aca="false">Lai_tham_chieu!B8</f>
        <v>0.035</v>
      </c>
      <c r="E10" s="4" t="s">
        <v>9</v>
      </c>
      <c r="F10" s="3" t="s">
        <v>12</v>
      </c>
    </row>
    <row r="11" customFormat="false" ht="15" hidden="false" customHeight="true" outlineLevel="0" collapsed="false">
      <c r="A11" s="5" t="s">
        <v>18</v>
      </c>
      <c r="B11" s="6" t="n">
        <f aca="false">Lai_tham_chieu!B2</f>
        <v>0.105</v>
      </c>
      <c r="C11" s="7" t="n">
        <v>0.0075</v>
      </c>
      <c r="D11" s="5" t="s">
        <v>19</v>
      </c>
      <c r="E11" s="4" t="s">
        <v>20</v>
      </c>
      <c r="F11" s="3" t="s">
        <v>21</v>
      </c>
    </row>
    <row r="12" customFormat="false" ht="15" hidden="false" customHeight="true" outlineLevel="0" collapsed="false">
      <c r="A12" s="5" t="s">
        <v>22</v>
      </c>
      <c r="B12" s="8" t="n">
        <v>3</v>
      </c>
      <c r="E12" s="4" t="s">
        <v>9</v>
      </c>
      <c r="F12" s="3" t="s">
        <v>12</v>
      </c>
    </row>
    <row r="13" customFormat="false" ht="15" hidden="false" customHeight="true" outlineLevel="0" collapsed="false">
      <c r="A13" s="5" t="s">
        <v>23</v>
      </c>
      <c r="B13" s="8" t="n">
        <v>24</v>
      </c>
      <c r="E13" s="4" t="s">
        <v>9</v>
      </c>
      <c r="F13" s="3" t="s">
        <v>12</v>
      </c>
    </row>
    <row r="14" customFormat="false" ht="15" hidden="false" customHeight="true" outlineLevel="0" collapsed="false">
      <c r="A14" s="5" t="s">
        <v>24</v>
      </c>
      <c r="B14" s="8" t="s">
        <v>25</v>
      </c>
      <c r="E14" s="4" t="s">
        <v>9</v>
      </c>
      <c r="F14" s="3" t="s">
        <v>12</v>
      </c>
    </row>
    <row r="15" customFormat="false" ht="15" hidden="false" customHeight="true" outlineLevel="0" collapsed="false">
      <c r="A15" s="5" t="s">
        <v>26</v>
      </c>
      <c r="B15" s="8" t="s">
        <v>27</v>
      </c>
      <c r="E15" s="4" t="s">
        <v>9</v>
      </c>
      <c r="F15" s="3" t="s">
        <v>28</v>
      </c>
    </row>
    <row r="16" customFormat="false" ht="15" hidden="false" customHeight="true" outlineLevel="0" collapsed="false">
      <c r="A16" s="5" t="s">
        <v>29</v>
      </c>
      <c r="B16" s="8" t="n">
        <v>360</v>
      </c>
      <c r="E16" s="4" t="s">
        <v>9</v>
      </c>
      <c r="F16" s="3" t="s">
        <v>12</v>
      </c>
    </row>
    <row r="17" customFormat="false" ht="15" hidden="false" customHeight="true" outlineLevel="0" collapsed="false">
      <c r="A17" s="5" t="s">
        <v>30</v>
      </c>
      <c r="B17" s="8" t="n">
        <v>70</v>
      </c>
      <c r="E17" s="4" t="s">
        <v>31</v>
      </c>
      <c r="F17" s="3" t="s">
        <v>32</v>
      </c>
    </row>
    <row r="18" customFormat="false" ht="15" hidden="false" customHeight="true" outlineLevel="0" collapsed="false">
      <c r="A18" s="5" t="s">
        <v>33</v>
      </c>
      <c r="B18" s="7" t="n">
        <v>0.026</v>
      </c>
      <c r="E18" s="4" t="s">
        <v>34</v>
      </c>
      <c r="F18" s="3" t="s">
        <v>35</v>
      </c>
    </row>
    <row r="19" customFormat="false" ht="15" hidden="false" customHeight="true" outlineLevel="0" collapsed="false">
      <c r="A19" s="5" t="s">
        <v>36</v>
      </c>
      <c r="B19" s="8" t="s">
        <v>37</v>
      </c>
      <c r="C19" s="7" t="n">
        <v>0.04</v>
      </c>
      <c r="D19" s="5" t="s">
        <v>19</v>
      </c>
      <c r="E19" s="4" t="s">
        <v>38</v>
      </c>
      <c r="F19" s="3" t="s">
        <v>39</v>
      </c>
    </row>
    <row r="20" customFormat="false" ht="15" hidden="false" customHeight="true" outlineLevel="0" collapsed="false">
      <c r="A20" s="5" t="s">
        <v>40</v>
      </c>
      <c r="B20" s="8" t="s">
        <v>41</v>
      </c>
      <c r="C20" s="7" t="n">
        <v>0.0125</v>
      </c>
      <c r="D20" s="5" t="s">
        <v>19</v>
      </c>
      <c r="E20" s="4" t="s">
        <v>42</v>
      </c>
      <c r="F20" s="3" t="s">
        <v>43</v>
      </c>
    </row>
    <row r="21" customFormat="false" ht="15" hidden="false" customHeight="true" outlineLevel="0" collapsed="false">
      <c r="A21" s="5" t="s">
        <v>44</v>
      </c>
      <c r="B21" s="6" t="n">
        <f aca="false">'Biến động thu nhập household (k'!H2</f>
        <v>0.0556200758575756</v>
      </c>
      <c r="C21" s="6" t="n">
        <f aca="false">'Biến động thu nhập household (k'!H3</f>
        <v>0.0571094009842994</v>
      </c>
      <c r="D21" s="5" t="s">
        <v>45</v>
      </c>
      <c r="E21" s="4" t="s">
        <v>9</v>
      </c>
      <c r="F21" s="3" t="s">
        <v>46</v>
      </c>
    </row>
    <row r="22" customFormat="false" ht="15" hidden="false" customHeight="true" outlineLevel="0" collapsed="false">
      <c r="A22" s="5" t="s">
        <v>47</v>
      </c>
      <c r="B22" s="6" t="n">
        <f aca="false">'Inflation - kan'!B6</f>
        <v>0.030920092915</v>
      </c>
      <c r="E22" s="4" t="s">
        <v>48</v>
      </c>
      <c r="F22" s="3" t="s">
        <v>49</v>
      </c>
    </row>
    <row r="23" customFormat="false" ht="15" hidden="false" customHeight="true" outlineLevel="0" collapsed="false">
      <c r="A23" s="5" t="s">
        <v>50</v>
      </c>
      <c r="B23" s="6" t="n">
        <f aca="false">'Lãi huy động (kan)'!I8</f>
        <v>0.065</v>
      </c>
      <c r="C23" s="6" t="n">
        <f aca="false">'Lãi huy động (kan)'!I7</f>
        <v>0.00816088230524127</v>
      </c>
      <c r="D23" s="5" t="s">
        <v>19</v>
      </c>
      <c r="E23" s="4" t="s">
        <v>48</v>
      </c>
      <c r="F23" s="3" t="s">
        <v>51</v>
      </c>
    </row>
    <row r="24" customFormat="false" ht="15" hidden="false" customHeight="true" outlineLevel="0" collapsed="false">
      <c r="A24" s="5" t="s">
        <v>52</v>
      </c>
      <c r="B24" s="6" t="n">
        <f aca="false">'VNIndex return - npp'!Q5</f>
        <v>0.0799044828956891</v>
      </c>
      <c r="C24" s="6" t="n">
        <f aca="false">'VNIndex return - npp'!Q6</f>
        <v>0.192971930811575</v>
      </c>
      <c r="D24" s="5" t="s">
        <v>45</v>
      </c>
      <c r="E24" s="4" t="s">
        <v>48</v>
      </c>
      <c r="F24" s="3" t="s">
        <v>53</v>
      </c>
    </row>
    <row r="25" customFormat="false" ht="15" hidden="false" customHeight="true" outlineLevel="0" collapsed="false">
      <c r="A25" s="5" t="s">
        <v>54</v>
      </c>
      <c r="B25" s="6" t="n">
        <f aca="false">'Return Bond (kan)'!H5</f>
        <v>0.0402181818181818</v>
      </c>
      <c r="C25" s="6" t="n">
        <f aca="false">'Return Bond (kan)'!H4</f>
        <v>0.0136507009477036</v>
      </c>
      <c r="D25" s="5" t="s">
        <v>19</v>
      </c>
      <c r="E25" s="4" t="s">
        <v>48</v>
      </c>
      <c r="F25" s="3" t="s">
        <v>55</v>
      </c>
    </row>
    <row r="26" customFormat="false" ht="15" hidden="false" customHeight="true" outlineLevel="0" collapsed="false">
      <c r="A26" s="5" t="s">
        <v>56</v>
      </c>
      <c r="B26" s="9" t="n">
        <f aca="false">'Giá vàng SJC - kan'!F13</f>
        <v>0.111150461640479</v>
      </c>
      <c r="C26" s="6" t="n">
        <f aca="false">'Giá vàng SJC - kan'!F7</f>
        <v>0.141258744990806</v>
      </c>
      <c r="D26" s="5" t="s">
        <v>45</v>
      </c>
      <c r="E26" s="4" t="s">
        <v>57</v>
      </c>
      <c r="F26" s="3" t="s">
        <v>58</v>
      </c>
    </row>
    <row r="27" customFormat="false" ht="15" hidden="false" customHeight="true" outlineLevel="0" collapsed="false">
      <c r="A27" s="5" t="s">
        <v>59</v>
      </c>
      <c r="B27" s="8" t="s">
        <v>60</v>
      </c>
      <c r="E27" s="4" t="s">
        <v>48</v>
      </c>
      <c r="F27" s="3" t="s">
        <v>61</v>
      </c>
    </row>
    <row r="28" customFormat="false" ht="15" hidden="false" customHeight="true" outlineLevel="0" collapsed="false">
      <c r="A28" s="5" t="s">
        <v>62</v>
      </c>
      <c r="B28" s="8" t="s">
        <v>63</v>
      </c>
      <c r="E28" s="4" t="s">
        <v>9</v>
      </c>
      <c r="F28" s="3" t="s">
        <v>64</v>
      </c>
    </row>
    <row r="29" customFormat="false" ht="15" hidden="false" customHeight="true" outlineLevel="0" collapsed="false">
      <c r="A29" s="5" t="s">
        <v>65</v>
      </c>
      <c r="B29" s="8" t="s">
        <v>66</v>
      </c>
      <c r="C29" s="5"/>
      <c r="D29" s="5"/>
      <c r="E29" s="4" t="s">
        <v>67</v>
      </c>
      <c r="F29" s="3" t="s">
        <v>68</v>
      </c>
    </row>
    <row r="30" customFormat="false" ht="15" hidden="false" customHeight="true" outlineLevel="0" collapsed="false">
      <c r="A30" s="5" t="s">
        <v>69</v>
      </c>
      <c r="B30" s="8" t="s">
        <v>70</v>
      </c>
      <c r="C30" s="5"/>
      <c r="D30" s="5"/>
      <c r="E30" s="4" t="s">
        <v>71</v>
      </c>
      <c r="F30" s="3" t="s">
        <v>72</v>
      </c>
    </row>
    <row r="31" customFormat="false" ht="15" hidden="false" customHeight="true" outlineLevel="0" collapsed="false">
      <c r="A31" s="5" t="s">
        <v>73</v>
      </c>
      <c r="B31" s="8" t="s">
        <v>74</v>
      </c>
      <c r="C31" s="5"/>
      <c r="D31" s="5"/>
      <c r="E31" s="4" t="s">
        <v>75</v>
      </c>
      <c r="F31" s="3" t="s">
        <v>76</v>
      </c>
    </row>
    <row r="32" customFormat="false" ht="15" hidden="false" customHeight="true" outlineLevel="0" collapsed="false">
      <c r="A32" s="5" t="s">
        <v>77</v>
      </c>
      <c r="B32" s="8" t="s">
        <v>78</v>
      </c>
      <c r="C32" s="5"/>
      <c r="D32" s="5"/>
      <c r="E32" s="4" t="s">
        <v>71</v>
      </c>
      <c r="F32" s="3" t="s">
        <v>79</v>
      </c>
    </row>
    <row r="33" customFormat="false" ht="15" hidden="false" customHeight="true" outlineLevel="0" collapsed="false">
      <c r="A33" s="5" t="s">
        <v>80</v>
      </c>
      <c r="B33" s="8" t="s">
        <v>81</v>
      </c>
      <c r="C33" s="5"/>
      <c r="D33" s="5"/>
      <c r="E33" s="4" t="s">
        <v>75</v>
      </c>
      <c r="F33" s="3" t="s">
        <v>82</v>
      </c>
    </row>
    <row r="34" customFormat="false" ht="15" hidden="false" customHeight="true" outlineLevel="0" collapsed="false">
      <c r="A34" s="5" t="s">
        <v>83</v>
      </c>
      <c r="B34" s="8" t="s">
        <v>84</v>
      </c>
      <c r="C34" s="5"/>
      <c r="D34" s="5"/>
      <c r="E34" s="4" t="s">
        <v>85</v>
      </c>
      <c r="F34" s="3" t="s">
        <v>86</v>
      </c>
    </row>
    <row r="35" customFormat="false" ht="15" hidden="false" customHeight="true" outlineLevel="0" collapsed="false">
      <c r="A35" s="5" t="s">
        <v>87</v>
      </c>
      <c r="B35" s="8" t="s">
        <v>88</v>
      </c>
      <c r="C35" s="5"/>
      <c r="D35" s="5"/>
      <c r="E35" s="4" t="s">
        <v>75</v>
      </c>
      <c r="F35" s="3" t="s">
        <v>89</v>
      </c>
    </row>
    <row r="36" customFormat="false" ht="15" hidden="false" customHeight="true" outlineLevel="0" collapsed="false">
      <c r="A36" s="5" t="s">
        <v>90</v>
      </c>
      <c r="B36" s="10" t="n">
        <v>10000</v>
      </c>
      <c r="C36" s="5"/>
      <c r="D36" s="5"/>
      <c r="E36" s="4" t="s">
        <v>91</v>
      </c>
      <c r="F36" s="3" t="s">
        <v>92</v>
      </c>
    </row>
    <row r="37" customFormat="false" ht="15" hidden="false" customHeight="true" outlineLevel="0" collapsed="false">
      <c r="A37" s="5" t="s">
        <v>93</v>
      </c>
      <c r="B37" s="7" t="n">
        <v>0</v>
      </c>
      <c r="C37" s="5"/>
      <c r="D37" s="5"/>
      <c r="E37" s="4" t="s">
        <v>94</v>
      </c>
      <c r="F37" s="3" t="s">
        <v>95</v>
      </c>
    </row>
    <row r="38" customFormat="false" ht="15" hidden="false" customHeight="true" outlineLevel="0" collapsed="false">
      <c r="A38" s="5" t="s">
        <v>96</v>
      </c>
      <c r="B38" s="7" t="n">
        <v>0.0005</v>
      </c>
      <c r="C38" s="5"/>
      <c r="D38" s="5"/>
      <c r="E38" s="4" t="s">
        <v>9</v>
      </c>
      <c r="F38" s="3" t="s">
        <v>97</v>
      </c>
    </row>
    <row r="39" customFormat="false" ht="15" hidden="false" customHeight="true" outlineLevel="0" collapsed="false">
      <c r="A39" s="5" t="s">
        <v>98</v>
      </c>
      <c r="B39" s="11" t="n">
        <v>0.015</v>
      </c>
      <c r="C39" s="5"/>
      <c r="D39" s="5"/>
      <c r="E39" s="4" t="s">
        <v>91</v>
      </c>
      <c r="F39" s="3" t="s">
        <v>99</v>
      </c>
    </row>
    <row r="40" customFormat="false" ht="15" hidden="false" customHeight="true" outlineLevel="0" collapsed="false">
      <c r="A40" s="5" t="s">
        <v>100</v>
      </c>
      <c r="B40" s="11" t="n">
        <v>0</v>
      </c>
      <c r="C40" s="5"/>
      <c r="D40" s="5"/>
      <c r="E40" s="4" t="s">
        <v>9</v>
      </c>
      <c r="F40" s="3" t="s">
        <v>101</v>
      </c>
    </row>
    <row r="41" customFormat="false" ht="15" hidden="false" customHeight="true" outlineLevel="0" collapsed="false">
      <c r="A41" s="5" t="s">
        <v>102</v>
      </c>
      <c r="B41" s="12" t="n">
        <v>0</v>
      </c>
      <c r="C41" s="5"/>
      <c r="D41" s="5" t="s">
        <v>19</v>
      </c>
      <c r="E41" s="4" t="s">
        <v>103</v>
      </c>
      <c r="F41" s="3" t="s">
        <v>104</v>
      </c>
    </row>
    <row r="42" customFormat="false" ht="15" hidden="false" customHeight="true" outlineLevel="0" collapsed="false">
      <c r="A42" s="5" t="s">
        <v>105</v>
      </c>
      <c r="B42" s="13" t="s">
        <v>106</v>
      </c>
      <c r="C42" s="5"/>
      <c r="D42" s="5"/>
      <c r="E42" s="4" t="s">
        <v>107</v>
      </c>
      <c r="F42" s="3" t="s">
        <v>108</v>
      </c>
    </row>
  </sheetData>
  <hyperlinks>
    <hyperlink ref="F17" r:id="rId1" display="Cách tính: tuổi người lớn hơn = max(tuổi 1, tuổi 2); kỳ hạn tối đa = (70 − tuổi người lớn hơn) × 12, không quá 360 tháng; chặn nếu ≤ 24 tháng. Nguồn chính VIB (22/07/2025): https://www.vib.com.vn/vn/cam-nang/vay/vay-bat-dong-san/vay-mua-nha-duoc-bao-nhieu-nam ; Cake: https://cake.vn/tin-tuc/tai-chinh/vay-the-chap-toi-da-duoc-bao-nhieu-nam ; Onlinebank–MB: https://onlinebank.com.vn/sp/vay-mua-nha-du-an-mb/ ; Standard Chartered: https://www.sc.com/vn/loans/mortgage/ . Độ nhạy 65 (VPBank) / 75 (PVcomBank, NCB). Luật “người lớn tuổi hơn” khi vay chung là GIẢ ĐỊNH thận trọng của nhóm (chưa ngân hàng nào ghi rõ); cần MB Vạn Phúc xác nhận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60"/>
    <col collapsed="false" customWidth="true" hidden="false" outlineLevel="0" max="6" min="6" style="1" width="45"/>
    <col collapsed="false" customWidth="true" hidden="false" outlineLevel="0" max="8" min="7" style="1" width="4"/>
    <col collapsed="false" customWidth="true" hidden="false" outlineLevel="0" max="12" min="9" style="1" width="10"/>
    <col collapsed="false" customWidth="true" hidden="false" outlineLevel="0" max="14" min="13" style="1" width="13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109</v>
      </c>
    </row>
    <row r="2" customFormat="false" ht="15" hidden="false" customHeight="true" outlineLevel="0" collapsed="false">
      <c r="A2" s="14" t="s">
        <v>110</v>
      </c>
    </row>
    <row r="4" customFormat="false" ht="15" hidden="false" customHeight="true" outlineLevel="0" collapsed="false">
      <c r="A4" s="15" t="s">
        <v>111</v>
      </c>
      <c r="B4" s="15" t="s">
        <v>112</v>
      </c>
      <c r="C4" s="15" t="s">
        <v>113</v>
      </c>
      <c r="D4" s="15" t="s">
        <v>114</v>
      </c>
      <c r="E4" s="15" t="s">
        <v>115</v>
      </c>
      <c r="F4" s="15" t="s">
        <v>116</v>
      </c>
    </row>
    <row r="5" customFormat="false" ht="15" hidden="false" customHeight="true" outlineLevel="0" collapsed="false">
      <c r="A5" s="16" t="s">
        <v>117</v>
      </c>
      <c r="B5" s="17" t="n">
        <f aca="false">FIN_ASSUMPTIONS_tong_hop!B11-FIN_ASSUMPTIONS_tong_hop!C11</f>
        <v>0.0975</v>
      </c>
      <c r="C5" s="17" t="n">
        <f aca="false">FIN_ASSUMPTIONS_tong_hop!B11</f>
        <v>0.105</v>
      </c>
      <c r="D5" s="17" t="n">
        <f aca="false">FIN_ASSUMPTIONS_tong_hop!B11+FIN_ASSUMPTIONS_tong_hop!C11</f>
        <v>0.1125</v>
      </c>
      <c r="E5" s="16" t="s">
        <v>118</v>
      </c>
      <c r="F5" s="16" t="s">
        <v>119</v>
      </c>
      <c r="G5" s="18"/>
      <c r="H5" s="18"/>
      <c r="I5" s="18"/>
      <c r="J5" s="18"/>
      <c r="K5" s="18"/>
      <c r="L5" s="18"/>
      <c r="M5" s="18"/>
      <c r="N5" s="18"/>
      <c r="O5" s="18"/>
    </row>
    <row r="6" customFormat="false" ht="26.25" hidden="false" customHeight="true" outlineLevel="0" collapsed="false">
      <c r="A6" s="16" t="s">
        <v>120</v>
      </c>
      <c r="B6" s="19" t="n">
        <v>0.8</v>
      </c>
      <c r="C6" s="19" t="n">
        <v>0.8</v>
      </c>
      <c r="D6" s="19" t="n">
        <v>0.7</v>
      </c>
      <c r="E6" s="16" t="s">
        <v>121</v>
      </c>
      <c r="F6" s="16" t="s">
        <v>122</v>
      </c>
      <c r="G6" s="18"/>
      <c r="H6" s="18"/>
      <c r="I6" s="18"/>
      <c r="J6" s="18"/>
      <c r="K6" s="18"/>
      <c r="L6" s="18"/>
      <c r="M6" s="18"/>
      <c r="N6" s="18"/>
      <c r="O6" s="18"/>
    </row>
    <row r="7" customFormat="false" ht="26.25" hidden="false" customHeight="true" outlineLevel="0" collapsed="false">
      <c r="A7" s="16" t="s">
        <v>123</v>
      </c>
      <c r="B7" s="17" t="n">
        <f aca="false">'Lạm phát giá mua bds - kan'!B5</f>
        <v>0.204310485211984</v>
      </c>
      <c r="C7" s="17" t="n">
        <f aca="false">'Lạm phát giá mua bds - kan'!B5</f>
        <v>0.204310485211984</v>
      </c>
      <c r="D7" s="17" t="n">
        <f aca="false">'Lạm phát giá mua bds - kan'!B4</f>
        <v>0.0364228437559397</v>
      </c>
      <c r="E7" s="16" t="s">
        <v>124</v>
      </c>
      <c r="F7" s="16" t="s">
        <v>125</v>
      </c>
      <c r="G7" s="18"/>
      <c r="H7" s="18"/>
      <c r="I7" s="18"/>
      <c r="J7" s="18"/>
      <c r="K7" s="18"/>
      <c r="L7" s="18"/>
      <c r="M7" s="18"/>
      <c r="N7" s="18"/>
      <c r="O7" s="18"/>
    </row>
    <row r="8" customFormat="false" ht="26.25" hidden="false" customHeight="true" outlineLevel="0" collapsed="false">
      <c r="A8" s="16" t="s">
        <v>126</v>
      </c>
      <c r="B8" s="20" t="n">
        <f aca="false">B21</f>
        <v>0.083817405358</v>
      </c>
      <c r="C8" s="20" t="n">
        <f aca="false">B21</f>
        <v>0.083817405358</v>
      </c>
      <c r="D8" s="20" t="n">
        <f aca="false">B21</f>
        <v>0.083817405358</v>
      </c>
      <c r="E8" s="16" t="s">
        <v>127</v>
      </c>
      <c r="F8" s="16" t="s">
        <v>128</v>
      </c>
      <c r="G8" s="18"/>
      <c r="H8" s="18"/>
      <c r="I8" s="18"/>
      <c r="J8" s="18"/>
      <c r="K8" s="18"/>
      <c r="L8" s="18"/>
      <c r="M8" s="18"/>
      <c r="N8" s="18"/>
      <c r="O8" s="18"/>
    </row>
    <row r="9" customFormat="false" ht="26.25" hidden="false" customHeight="true" outlineLevel="0" collapsed="false">
      <c r="A9" s="16" t="s">
        <v>129</v>
      </c>
      <c r="B9" s="21" t="n">
        <v>6.5</v>
      </c>
      <c r="C9" s="21" t="n">
        <v>3.24</v>
      </c>
      <c r="D9" s="21" t="n">
        <v>3.24</v>
      </c>
      <c r="E9" s="16" t="s">
        <v>130</v>
      </c>
      <c r="F9" s="16" t="s">
        <v>131</v>
      </c>
      <c r="G9" s="18"/>
      <c r="H9" s="18"/>
      <c r="I9" s="18"/>
      <c r="J9" s="18"/>
      <c r="K9" s="18"/>
      <c r="L9" s="18"/>
      <c r="M9" s="18"/>
      <c r="N9" s="18"/>
      <c r="O9" s="18"/>
    </row>
    <row r="10" customFormat="false" ht="15" hidden="false" customHeight="true" outlineLevel="0" collapsed="false">
      <c r="A10" s="16" t="s">
        <v>132</v>
      </c>
      <c r="B10" s="19" t="n">
        <v>0.1</v>
      </c>
      <c r="C10" s="19" t="n">
        <v>0.06</v>
      </c>
      <c r="D10" s="19" t="n">
        <v>0.03</v>
      </c>
      <c r="E10" s="16" t="s">
        <v>133</v>
      </c>
      <c r="F10" s="16" t="s">
        <v>134</v>
      </c>
      <c r="G10" s="18"/>
      <c r="H10" s="18"/>
      <c r="I10" s="18"/>
      <c r="J10" s="18"/>
      <c r="K10" s="18"/>
      <c r="L10" s="18"/>
      <c r="M10" s="18"/>
      <c r="N10" s="18"/>
      <c r="O10" s="18"/>
    </row>
    <row r="11" customFormat="false" ht="26.25" hidden="false" customHeight="true" outlineLevel="0" collapsed="false">
      <c r="A11" s="16" t="s">
        <v>135</v>
      </c>
      <c r="B11" s="17" t="n">
        <f aca="false">AVERAGE('Biến động thu nhập household (k'!D10:D12)</f>
        <v>0.0928757924448711</v>
      </c>
      <c r="C11" s="17" t="n">
        <f aca="false">FIN_ASSUMPTIONS_tong_hop!B21</f>
        <v>0.0556200758575756</v>
      </c>
      <c r="D11" s="17" t="n">
        <f aca="false">'Inflation - kan'!$B$6</f>
        <v>0.030920092915</v>
      </c>
      <c r="E11" s="16" t="s">
        <v>136</v>
      </c>
      <c r="F11" s="16" t="s">
        <v>137</v>
      </c>
      <c r="G11" s="18"/>
      <c r="H11" s="18"/>
      <c r="I11" s="18"/>
      <c r="J11" s="18"/>
      <c r="K11" s="18"/>
      <c r="L11" s="18"/>
      <c r="M11" s="18"/>
      <c r="N11" s="18"/>
      <c r="O11" s="18"/>
    </row>
    <row r="12" customFormat="false" ht="15" hidden="false" customHeight="true" outlineLevel="0" collapsed="false">
      <c r="A12" s="16" t="s">
        <v>138</v>
      </c>
      <c r="B12" s="17" t="n">
        <f aca="false">'Inflation - kan'!$B$6</f>
        <v>0.030920092915</v>
      </c>
      <c r="C12" s="17" t="n">
        <f aca="false">'Inflation - kan'!$B$6</f>
        <v>0.030920092915</v>
      </c>
      <c r="D12" s="17" t="n">
        <f aca="false">'Inflation - kan'!$B$6</f>
        <v>0.030920092915</v>
      </c>
      <c r="E12" s="16" t="s">
        <v>139</v>
      </c>
      <c r="F12" s="16" t="s">
        <v>140</v>
      </c>
      <c r="G12" s="18"/>
      <c r="H12" s="18"/>
      <c r="I12" s="18"/>
      <c r="J12" s="18"/>
      <c r="K12" s="18"/>
      <c r="L12" s="18"/>
      <c r="M12" s="18"/>
      <c r="N12" s="18"/>
      <c r="O12" s="18"/>
    </row>
    <row r="13" customFormat="false" ht="15" hidden="false" customHeight="true" outlineLevel="0" collapsed="false">
      <c r="A13" s="16" t="s">
        <v>141</v>
      </c>
      <c r="B13" s="17" t="n">
        <f aca="false">AVERAGE('Lãi huy động (kan)'!E6:E7)</f>
        <v>0.0585</v>
      </c>
      <c r="C13" s="17" t="n">
        <f aca="false">FIN_ASSUMPTIONS_tong_hop!B23</f>
        <v>0.065</v>
      </c>
      <c r="D13" s="17" t="n">
        <f aca="false">'Lãi huy động (kan)'!E8</f>
        <v>0.076</v>
      </c>
      <c r="E13" s="16" t="s">
        <v>142</v>
      </c>
      <c r="F13" s="16" t="s">
        <v>143</v>
      </c>
      <c r="G13" s="18"/>
      <c r="H13" s="18"/>
      <c r="I13" s="18"/>
      <c r="J13" s="18"/>
      <c r="K13" s="18"/>
      <c r="L13" s="18"/>
      <c r="M13" s="18"/>
      <c r="N13" s="18"/>
      <c r="O13" s="18"/>
    </row>
    <row r="14" customFormat="false" ht="15" hidden="false" customHeight="true" outlineLevel="0" collapsed="false">
      <c r="A14" s="16" t="s">
        <v>144</v>
      </c>
      <c r="B14" s="17" t="n">
        <f aca="false">AVERAGE('Return Bond (kan)'!E6:E7)</f>
        <v>0.024</v>
      </c>
      <c r="C14" s="17" t="n">
        <f aca="false">FIN_ASSUMPTIONS_tong_hop!B25</f>
        <v>0.0402181818181818</v>
      </c>
      <c r="D14" s="17" t="n">
        <f aca="false">'Return Bond (kan)'!E8</f>
        <v>0.0504</v>
      </c>
      <c r="E14" s="16" t="s">
        <v>145</v>
      </c>
      <c r="F14" s="16" t="s">
        <v>143</v>
      </c>
      <c r="G14" s="18"/>
      <c r="H14" s="18"/>
      <c r="I14" s="18"/>
      <c r="J14" s="18"/>
      <c r="K14" s="18"/>
      <c r="L14" s="18"/>
      <c r="M14" s="18"/>
      <c r="N14" s="18"/>
      <c r="O14" s="18"/>
    </row>
    <row r="15" customFormat="false" ht="26.25" hidden="false" customHeight="true" outlineLevel="0" collapsed="false">
      <c r="A15" s="16" t="s">
        <v>146</v>
      </c>
      <c r="B15" s="17" t="n">
        <f aca="false">FIN_ASSUMPTIONS_tong_hop!B24</f>
        <v>0.0799044828956891</v>
      </c>
      <c r="C15" s="17" t="n">
        <f aca="false">FIN_ASSUMPTIONS_tong_hop!B24</f>
        <v>0.0799044828956891</v>
      </c>
      <c r="D15" s="17" t="n">
        <f aca="false">FIN_ASSUMPTIONS_tong_hop!B24</f>
        <v>0.0799044828956891</v>
      </c>
      <c r="E15" s="16" t="s">
        <v>147</v>
      </c>
      <c r="F15" s="16" t="s">
        <v>148</v>
      </c>
      <c r="G15" s="18"/>
      <c r="H15" s="18"/>
      <c r="I15" s="18"/>
      <c r="J15" s="18"/>
      <c r="K15" s="18"/>
      <c r="L15" s="18"/>
      <c r="M15" s="18"/>
      <c r="N15" s="18"/>
      <c r="O15" s="18"/>
    </row>
    <row r="16" customFormat="false" ht="15" hidden="false" customHeight="true" outlineLevel="0" collapsed="false">
      <c r="A16" s="16" t="s">
        <v>149</v>
      </c>
      <c r="B16" s="17" t="n">
        <f aca="false">FIN_ASSUMPTIONS_tong_hop!B26</f>
        <v>0.111150461640479</v>
      </c>
      <c r="C16" s="17" t="n">
        <f aca="false">FIN_ASSUMPTIONS_tong_hop!B26</f>
        <v>0.111150461640479</v>
      </c>
      <c r="D16" s="17" t="n">
        <f aca="false">FIN_ASSUMPTIONS_tong_hop!B26</f>
        <v>0.111150461640479</v>
      </c>
      <c r="E16" s="16" t="s">
        <v>150</v>
      </c>
      <c r="F16" s="16" t="s">
        <v>143</v>
      </c>
      <c r="G16" s="18"/>
      <c r="H16" s="18"/>
      <c r="I16" s="18"/>
      <c r="J16" s="18"/>
      <c r="K16" s="18"/>
      <c r="L16" s="18"/>
      <c r="M16" s="18"/>
      <c r="N16" s="18"/>
      <c r="O16" s="18"/>
    </row>
    <row r="17" customFormat="false" ht="15" hidden="false" customHeight="true" outlineLevel="0" collapsed="false">
      <c r="A17" s="16" t="s">
        <v>151</v>
      </c>
      <c r="B17" s="22" t="str">
        <f aca="false">C17</f>
        <v>10.000 đ/m²; bảo hiểm 0,05%; bán 1,5%; sửa chữa 0</v>
      </c>
      <c r="C17" s="23" t="s">
        <v>152</v>
      </c>
      <c r="D17" s="22" t="str">
        <f aca="false">C17</f>
        <v>10.000 đ/m²; bảo hiểm 0,05%; bán 1,5%; sửa chữa 0</v>
      </c>
      <c r="E17" s="16" t="s">
        <v>153</v>
      </c>
      <c r="F17" s="16" t="s">
        <v>154</v>
      </c>
    </row>
    <row r="19" customFormat="false" ht="15" hidden="false" customHeight="false" outlineLevel="0" collapsed="false">
      <c r="A19" s="24" t="s">
        <v>155</v>
      </c>
    </row>
    <row r="21" customFormat="false" ht="15" hidden="false" customHeight="true" outlineLevel="0" collapsed="false">
      <c r="A21" s="25" t="s">
        <v>156</v>
      </c>
      <c r="B21" s="9" t="n">
        <f aca="false">'Inflation - kan'!$B$6+AVERAGE('GDP per capita - kan'!B3:K3)</f>
        <v>0.083817405358</v>
      </c>
      <c r="C21" s="9"/>
      <c r="D21" s="25"/>
    </row>
    <row r="23" customFormat="false" ht="15" hidden="false" customHeight="true" outlineLevel="0" collapsed="false">
      <c r="A23" s="26" t="s">
        <v>157</v>
      </c>
      <c r="I23" s="26" t="s">
        <v>158</v>
      </c>
    </row>
    <row r="24" customFormat="false" ht="15" hidden="false" customHeight="true" outlineLevel="0" collapsed="false">
      <c r="A24" s="15" t="s">
        <v>159</v>
      </c>
      <c r="B24" s="15" t="s">
        <v>160</v>
      </c>
      <c r="C24" s="15" t="s">
        <v>161</v>
      </c>
      <c r="D24" s="15" t="s">
        <v>162</v>
      </c>
      <c r="E24" s="15" t="s">
        <v>163</v>
      </c>
      <c r="F24" s="15" t="s">
        <v>164</v>
      </c>
      <c r="G24" s="15" t="s">
        <v>165</v>
      </c>
      <c r="I24" s="15"/>
      <c r="J24" s="15" t="s">
        <v>166</v>
      </c>
      <c r="K24" s="15" t="s">
        <v>167</v>
      </c>
      <c r="L24" s="15" t="s">
        <v>168</v>
      </c>
      <c r="M24" s="15" t="s">
        <v>169</v>
      </c>
      <c r="N24" s="15" t="s">
        <v>170</v>
      </c>
      <c r="O24" s="15" t="s">
        <v>171</v>
      </c>
    </row>
    <row r="25" customFormat="false" ht="15" hidden="false" customHeight="true" outlineLevel="0" collapsed="false">
      <c r="A25" s="25" t="n">
        <v>1</v>
      </c>
      <c r="B25" s="27" t="n">
        <f aca="false">B$8+(B$7-B$8)*EXP(-($A25-1)/B$9)</f>
        <v>0.204310485211984</v>
      </c>
      <c r="C25" s="27" t="n">
        <f aca="false">C$8+(C$7-C$8)*EXP(-($A25-1)/C$9)</f>
        <v>0.204310485211984</v>
      </c>
      <c r="D25" s="27" t="n">
        <f aca="false">D$8+(D$7-D$8)*EXP(-($A25-1)/D$9)</f>
        <v>0.0364228437559397</v>
      </c>
      <c r="E25" s="28" t="n">
        <f aca="false">(1+B25)</f>
        <v>1.20431048521198</v>
      </c>
      <c r="F25" s="28" t="n">
        <f aca="false">(1+C25)</f>
        <v>1.20431048521198</v>
      </c>
      <c r="G25" s="28" t="n">
        <f aca="false">(1+D25)</f>
        <v>1.03642284375594</v>
      </c>
      <c r="I25" s="1" t="s">
        <v>112</v>
      </c>
      <c r="J25" s="27" t="n">
        <f aca="false">B25</f>
        <v>0.204310485211984</v>
      </c>
      <c r="K25" s="27" t="n">
        <f aca="false">B29</f>
        <v>0.14893584155938</v>
      </c>
      <c r="L25" s="27" t="n">
        <f aca="false">B34</f>
        <v>0.113991294065954</v>
      </c>
      <c r="M25" s="27" t="n">
        <f aca="false">E34^(1/10)-1</f>
        <v>0.149817861917953</v>
      </c>
      <c r="N25" s="27" t="n">
        <f aca="false">E54^(1/30)-1</f>
        <v>0.111245542332019</v>
      </c>
      <c r="O25" s="29" t="n">
        <f aca="false">E54</f>
        <v>23.6755978977293</v>
      </c>
    </row>
    <row r="26" customFormat="false" ht="15" hidden="false" customHeight="true" outlineLevel="0" collapsed="false">
      <c r="A26" s="25" t="n">
        <v>2</v>
      </c>
      <c r="B26" s="27" t="n">
        <f aca="false">B$8+(B$7-B$8)*EXP(-($A26-1)/B$9)</f>
        <v>0.187128644256518</v>
      </c>
      <c r="C26" s="27" t="n">
        <f aca="false">C$8+(C$7-C$8)*EXP(-($A26-1)/C$9)</f>
        <v>0.172312785368083</v>
      </c>
      <c r="D26" s="27" t="n">
        <f aca="false">D$8+(D$7-D$8)*EXP(-($A26-1)/D$9)</f>
        <v>0.049008769505483</v>
      </c>
      <c r="E26" s="28" t="n">
        <f aca="false">(1+B26)*E25</f>
        <v>1.42967147357361</v>
      </c>
      <c r="F26" s="28" t="n">
        <f aca="false">(1+C26)*F25</f>
        <v>1.41182857936685</v>
      </c>
      <c r="G26" s="28" t="n">
        <f aca="false">(1+D26)*G25</f>
        <v>1.08721665201579</v>
      </c>
      <c r="I26" s="1" t="s">
        <v>172</v>
      </c>
      <c r="J26" s="27" t="n">
        <f aca="false">C25</f>
        <v>0.204310485211984</v>
      </c>
      <c r="K26" s="27" t="n">
        <f aca="false">C29</f>
        <v>0.118876127162289</v>
      </c>
      <c r="L26" s="27" t="n">
        <f aca="false">C34</f>
        <v>0.09130924623204</v>
      </c>
      <c r="M26" s="27" t="n">
        <f aca="false">F34^(1/10)-1</f>
        <v>0.126566414308796</v>
      </c>
      <c r="N26" s="27" t="n">
        <f aca="false">F54^(1/30)-1</f>
        <v>0.0985810981941757</v>
      </c>
      <c r="O26" s="29" t="n">
        <f aca="false">F54</f>
        <v>16.7866359826152</v>
      </c>
    </row>
    <row r="27" customFormat="false" ht="15" hidden="false" customHeight="true" outlineLevel="0" collapsed="false">
      <c r="A27" s="25" t="n">
        <v>3</v>
      </c>
      <c r="B27" s="27" t="n">
        <f aca="false">B$8+(B$7-B$8)*EXP(-($A27-1)/B$9)</f>
        <v>0.17239686648291</v>
      </c>
      <c r="C27" s="27" t="n">
        <f aca="false">C$8+(C$7-C$8)*EXP(-($A27-1)/C$9)</f>
        <v>0.148812277201422</v>
      </c>
      <c r="D27" s="27" t="n">
        <f aca="false">D$8+(D$7-D$8)*EXP(-($A27-1)/D$9)</f>
        <v>0.0582524230276125</v>
      </c>
      <c r="E27" s="28" t="n">
        <f aca="false">(1+B27)*E26</f>
        <v>1.67614235571771</v>
      </c>
      <c r="F27" s="28" t="n">
        <f aca="false">(1+C27)*F26</f>
        <v>1.62192600528048</v>
      </c>
      <c r="G27" s="28" t="n">
        <f aca="false">(1+D27)*G26</f>
        <v>1.15054965635168</v>
      </c>
      <c r="I27" s="1" t="s">
        <v>114</v>
      </c>
      <c r="J27" s="27" t="n">
        <f aca="false">D25</f>
        <v>0.0364228437559397</v>
      </c>
      <c r="K27" s="27" t="n">
        <f aca="false">D29</f>
        <v>0.0700274619665917</v>
      </c>
      <c r="L27" s="27" t="n">
        <f aca="false">D34</f>
        <v>0.0808705762600318</v>
      </c>
      <c r="M27" s="27" t="n">
        <f aca="false">G34^(1/10)-1</f>
        <v>0.0666922066867592</v>
      </c>
      <c r="N27" s="27" t="n">
        <f aca="false">G54^(1/30)-1</f>
        <v>0.077808887126025</v>
      </c>
      <c r="O27" s="29" t="n">
        <f aca="false">G54</f>
        <v>9.46788137954943</v>
      </c>
    </row>
    <row r="28" customFormat="false" ht="15" hidden="false" customHeight="true" outlineLevel="0" collapsed="false">
      <c r="A28" s="25" t="n">
        <v>4</v>
      </c>
      <c r="B28" s="27" t="n">
        <f aca="false">B$8+(B$7-B$8)*EXP(-($A28-1)/B$9)</f>
        <v>0.159765782483618</v>
      </c>
      <c r="C28" s="27" t="n">
        <f aca="false">C$8+(C$7-C$8)*EXP(-($A28-1)/C$9)</f>
        <v>0.131552477691285</v>
      </c>
      <c r="D28" s="27" t="n">
        <f aca="false">D$8+(D$7-D$8)*EXP(-($A28-1)/D$9)</f>
        <v>0.0650413658624515</v>
      </c>
      <c r="E28" s="28" t="n">
        <f aca="false">(1+B28)*E27</f>
        <v>1.94393255073288</v>
      </c>
      <c r="F28" s="28" t="n">
        <f aca="false">(1+C28)*F27</f>
        <v>1.83529438990705</v>
      </c>
      <c r="G28" s="28" t="n">
        <f aca="false">(1+D28)*G27</f>
        <v>1.22538297749337</v>
      </c>
    </row>
    <row r="29" customFormat="false" ht="15" hidden="false" customHeight="true" outlineLevel="0" collapsed="false">
      <c r="A29" s="25" t="n">
        <v>5</v>
      </c>
      <c r="B29" s="27" t="n">
        <f aca="false">B$8+(B$7-B$8)*EXP(-($A29-1)/B$9)</f>
        <v>0.14893584155938</v>
      </c>
      <c r="C29" s="27" t="n">
        <f aca="false">C$8+(C$7-C$8)*EXP(-($A29-1)/C$9)</f>
        <v>0.118876127162289</v>
      </c>
      <c r="D29" s="27" t="n">
        <f aca="false">D$8+(D$7-D$8)*EXP(-($A29-1)/D$9)</f>
        <v>0.0700274619665917</v>
      </c>
      <c r="E29" s="28" t="n">
        <f aca="false">(1+B29)*E28</f>
        <v>2.23345378111096</v>
      </c>
      <c r="F29" s="28" t="n">
        <f aca="false">(1+C29)*F28</f>
        <v>2.05346707918188</v>
      </c>
      <c r="G29" s="28" t="n">
        <f aca="false">(1+D29)*G28</f>
        <v>1.31119343734429</v>
      </c>
    </row>
    <row r="30" customFormat="false" ht="15" hidden="false" customHeight="true" outlineLevel="0" collapsed="false">
      <c r="A30" s="25" t="n">
        <v>6</v>
      </c>
      <c r="B30" s="27" t="n">
        <f aca="false">B$8+(B$7-B$8)*EXP(-($A30-1)/B$9)</f>
        <v>0.139650207766662</v>
      </c>
      <c r="C30" s="27" t="n">
        <f aca="false">C$8+(C$7-C$8)*EXP(-($A30-1)/C$9)</f>
        <v>0.109566061733105</v>
      </c>
      <c r="D30" s="27" t="n">
        <f aca="false">D$8+(D$7-D$8)*EXP(-($A30-1)/D$9)</f>
        <v>0.073689468697911</v>
      </c>
      <c r="E30" s="28" t="n">
        <f aca="false">(1+B30)*E29</f>
        <v>2.54535606568034</v>
      </c>
      <c r="F30" s="28" t="n">
        <f aca="false">(1+C30)*F29</f>
        <v>2.27845737994642</v>
      </c>
      <c r="G30" s="28" t="n">
        <f aca="false">(1+D30)*G29</f>
        <v>1.40781458510238</v>
      </c>
    </row>
    <row r="31" customFormat="false" ht="15" hidden="false" customHeight="true" outlineLevel="0" collapsed="false">
      <c r="A31" s="25" t="n">
        <v>7</v>
      </c>
      <c r="B31" s="27" t="n">
        <f aca="false">B$8+(B$7-B$8)*EXP(-($A31-1)/B$9)</f>
        <v>0.131688668960898</v>
      </c>
      <c r="C31" s="27" t="n">
        <f aca="false">C$8+(C$7-C$8)*EXP(-($A31-1)/C$9)</f>
        <v>0.102728343093389</v>
      </c>
      <c r="D31" s="27" t="n">
        <f aca="false">D$8+(D$7-D$8)*EXP(-($A31-1)/D$9)</f>
        <v>0.0763790063682925</v>
      </c>
      <c r="E31" s="28" t="n">
        <f aca="false">(1+B31)*E30</f>
        <v>2.88055061800133</v>
      </c>
      <c r="F31" s="28" t="n">
        <f aca="false">(1+C31)*F30</f>
        <v>2.51251953139722</v>
      </c>
      <c r="G31" s="28" t="n">
        <f aca="false">(1+D31)*G30</f>
        <v>1.51534206426329</v>
      </c>
    </row>
    <row r="32" customFormat="false" ht="15" hidden="false" customHeight="true" outlineLevel="0" collapsed="false">
      <c r="A32" s="25" t="n">
        <v>8</v>
      </c>
      <c r="B32" s="27" t="n">
        <f aca="false">B$8+(B$7-B$8)*EXP(-($A32-1)/B$9)</f>
        <v>0.124862414386287</v>
      </c>
      <c r="C32" s="27" t="n">
        <f aca="false">C$8+(C$7-C$8)*EXP(-($A32-1)/C$9)</f>
        <v>0.0977064239080137</v>
      </c>
      <c r="D32" s="27" t="n">
        <f aca="false">D$8+(D$7-D$8)*EXP(-($A32-1)/D$9)</f>
        <v>0.0783543202907208</v>
      </c>
      <c r="E32" s="28" t="n">
        <f aca="false">(1+B32)*E31</f>
        <v>3.24022312292689</v>
      </c>
      <c r="F32" s="28" t="n">
        <f aca="false">(1+C32)*F31</f>
        <v>2.75800882980908</v>
      </c>
      <c r="G32" s="28" t="n">
        <f aca="false">(1+D32)*G31</f>
        <v>1.63407566171658</v>
      </c>
    </row>
    <row r="33" customFormat="false" ht="15" hidden="false" customHeight="true" outlineLevel="0" collapsed="false">
      <c r="A33" s="25" t="n">
        <v>9</v>
      </c>
      <c r="B33" s="27" t="n">
        <f aca="false">B$8+(B$7-B$8)*EXP(-($A33-1)/B$9)</f>
        <v>0.119009556960829</v>
      </c>
      <c r="C33" s="27" t="n">
        <f aca="false">C$8+(C$7-C$8)*EXP(-($A33-1)/C$9)</f>
        <v>0.0940181071413722</v>
      </c>
      <c r="D33" s="27" t="n">
        <f aca="false">D$8+(D$7-D$8)*EXP(-($A33-1)/D$9)</f>
        <v>0.079805077101123</v>
      </c>
      <c r="E33" s="28" t="n">
        <f aca="false">(1+B33)*E32</f>
        <v>3.62584064124065</v>
      </c>
      <c r="F33" s="28" t="n">
        <f aca="false">(1+C33)*F32</f>
        <v>3.01731159946692</v>
      </c>
      <c r="G33" s="28" t="n">
        <f aca="false">(1+D33)*G32</f>
        <v>1.76448319588894</v>
      </c>
    </row>
    <row r="34" customFormat="false" ht="15" hidden="false" customHeight="true" outlineLevel="0" collapsed="false">
      <c r="A34" s="25" t="n">
        <v>10</v>
      </c>
      <c r="B34" s="27" t="n">
        <f aca="false">B$8+(B$7-B$8)*EXP(-($A34-1)/B$9)</f>
        <v>0.113991294065954</v>
      </c>
      <c r="C34" s="27" t="n">
        <f aca="false">C$8+(C$7-C$8)*EXP(-($A34-1)/C$9)</f>
        <v>0.09130924623204</v>
      </c>
      <c r="D34" s="27" t="n">
        <f aca="false">D$8+(D$7-D$8)*EXP(-($A34-1)/D$9)</f>
        <v>0.0808705762600318</v>
      </c>
      <c r="E34" s="28" t="n">
        <f aca="false">(1+B34)*E33</f>
        <v>4.0391549080126</v>
      </c>
      <c r="F34" s="28" t="n">
        <f aca="false">(1+C34)*F33</f>
        <v>3.29282004726144</v>
      </c>
      <c r="G34" s="28" t="n">
        <f aca="false">(1+D34)*G33</f>
        <v>1.90717796874162</v>
      </c>
    </row>
    <row r="35" customFormat="false" ht="15" hidden="false" customHeight="true" outlineLevel="0" collapsed="false">
      <c r="A35" s="25" t="n">
        <v>11</v>
      </c>
      <c r="B35" s="27" t="n">
        <f aca="false">B$8+(B$7-B$8)*EXP(-($A35-1)/B$9)</f>
        <v>0.109688615792511</v>
      </c>
      <c r="C35" s="27" t="n">
        <f aca="false">C$8+(C$7-C$8)*EXP(-($A35-1)/C$9)</f>
        <v>0.0893197404790432</v>
      </c>
      <c r="D35" s="27" t="n">
        <f aca="false">D$8+(D$7-D$8)*EXP(-($A35-1)/D$9)</f>
        <v>0.0816531253747389</v>
      </c>
      <c r="E35" s="28" t="n">
        <f aca="false">(1+B35)*E34</f>
        <v>4.48220421884403</v>
      </c>
      <c r="F35" s="28" t="n">
        <f aca="false">(1+C35)*F34</f>
        <v>3.58693387932702</v>
      </c>
      <c r="G35" s="28" t="n">
        <f aca="false">(1+D35)*G34</f>
        <v>2.06290501053522</v>
      </c>
    </row>
    <row r="36" customFormat="false" ht="15" hidden="false" customHeight="true" outlineLevel="0" collapsed="false">
      <c r="A36" s="25" t="n">
        <v>12</v>
      </c>
      <c r="B36" s="27" t="n">
        <f aca="false">B$8+(B$7-B$8)*EXP(-($A36-1)/B$9)</f>
        <v>0.105999482577974</v>
      </c>
      <c r="C36" s="27" t="n">
        <f aca="false">C$8+(C$7-C$8)*EXP(-($A36-1)/C$9)</f>
        <v>0.0878585605684869</v>
      </c>
      <c r="D36" s="27" t="n">
        <f aca="false">D$8+(D$7-D$8)*EXP(-($A36-1)/D$9)</f>
        <v>0.0822278636200097</v>
      </c>
      <c r="E36" s="28" t="n">
        <f aca="false">(1+B36)*E35</f>
        <v>4.95731554685031</v>
      </c>
      <c r="F36" s="28" t="n">
        <f aca="false">(1+C36)*F35</f>
        <v>3.90207672681903</v>
      </c>
      <c r="G36" s="28" t="n">
        <f aca="false">(1+D36)*G35</f>
        <v>2.23253328240255</v>
      </c>
    </row>
    <row r="37" customFormat="false" ht="15" hidden="false" customHeight="true" outlineLevel="0" collapsed="false">
      <c r="A37" s="25" t="n">
        <v>13</v>
      </c>
      <c r="B37" s="27" t="n">
        <f aca="false">B$8+(B$7-B$8)*EXP(-($A37-1)/B$9)</f>
        <v>0.102836405301525</v>
      </c>
      <c r="C37" s="27" t="n">
        <f aca="false">C$8+(C$7-C$8)*EXP(-($A37-1)/C$9)</f>
        <v>0.086785406229628</v>
      </c>
      <c r="D37" s="27" t="n">
        <f aca="false">D$8+(D$7-D$8)*EXP(-($A37-1)/D$9)</f>
        <v>0.0826499764872648</v>
      </c>
      <c r="E37" s="28" t="n">
        <f aca="false">(1+B37)*E36</f>
        <v>5.46710805763376</v>
      </c>
      <c r="F37" s="28" t="n">
        <f aca="false">(1+C37)*F36</f>
        <v>4.2407200406952</v>
      </c>
      <c r="G37" s="28" t="n">
        <f aca="false">(1+D37)*G36</f>
        <v>2.41705210570015</v>
      </c>
    </row>
    <row r="38" customFormat="false" ht="15" hidden="false" customHeight="true" outlineLevel="0" collapsed="false">
      <c r="A38" s="25" t="n">
        <v>14</v>
      </c>
      <c r="B38" s="27" t="n">
        <f aca="false">B$8+(B$7-B$8)*EXP(-($A38-1)/B$9)</f>
        <v>0.100124370448091</v>
      </c>
      <c r="C38" s="27" t="n">
        <f aca="false">C$8+(C$7-C$8)*EXP(-($A38-1)/C$9)</f>
        <v>0.0859972348164491</v>
      </c>
      <c r="D38" s="27" t="n">
        <f aca="false">D$8+(D$7-D$8)*EXP(-($A38-1)/D$9)</f>
        <v>0.0829599946114605</v>
      </c>
      <c r="E38" s="28" t="n">
        <f aca="false">(1+B38)*E37</f>
        <v>6.01449881007602</v>
      </c>
      <c r="F38" s="28" t="n">
        <f aca="false">(1+C38)*F37</f>
        <v>4.60541023782569</v>
      </c>
      <c r="G38" s="28" t="n">
        <f aca="false">(1+D38)*G37</f>
        <v>2.61757073536466</v>
      </c>
    </row>
    <row r="39" customFormat="false" ht="15" hidden="false" customHeight="true" outlineLevel="0" collapsed="false">
      <c r="A39" s="25" t="n">
        <v>15</v>
      </c>
      <c r="B39" s="27" t="n">
        <f aca="false">B$8+(B$7-B$8)*EXP(-($A39-1)/B$9)</f>
        <v>0.0977990611358563</v>
      </c>
      <c r="C39" s="27" t="n">
        <f aca="false">C$8+(C$7-C$8)*EXP(-($A39-1)/C$9)</f>
        <v>0.0854183673096439</v>
      </c>
      <c r="D39" s="27" t="n">
        <f aca="false">D$8+(D$7-D$8)*EXP(-($A39-1)/D$9)</f>
        <v>0.0831876854609595</v>
      </c>
      <c r="E39" s="28" t="n">
        <f aca="false">(1+B39)*E38</f>
        <v>6.60271114690418</v>
      </c>
      <c r="F39" s="28" t="n">
        <f aca="false">(1+C39)*F38</f>
        <v>4.99879686113188</v>
      </c>
      <c r="G39" s="28" t="n">
        <f aca="false">(1+D39)*G38</f>
        <v>2.83532038636998</v>
      </c>
    </row>
    <row r="40" customFormat="false" ht="15" hidden="false" customHeight="true" outlineLevel="0" collapsed="false">
      <c r="A40" s="25" t="n">
        <v>16</v>
      </c>
      <c r="B40" s="27" t="n">
        <f aca="false">B$8+(B$7-B$8)*EXP(-($A40-1)/B$9)</f>
        <v>0.0958053318182862</v>
      </c>
      <c r="C40" s="27" t="n">
        <f aca="false">C$8+(C$7-C$8)*EXP(-($A40-1)/C$9)</f>
        <v>0.0849932217323852</v>
      </c>
      <c r="D40" s="27" t="n">
        <f aca="false">D$8+(D$7-D$8)*EXP(-($A40-1)/D$9)</f>
        <v>0.0833549115645304</v>
      </c>
      <c r="E40" s="28" t="n">
        <f aca="false">(1+B40)*E39</f>
        <v>7.23528607923364</v>
      </c>
      <c r="F40" s="28" t="n">
        <f aca="false">(1+C40)*F39</f>
        <v>5.42366071114521</v>
      </c>
      <c r="G40" s="28" t="n">
        <f aca="false">(1+D40)*G39</f>
        <v>3.07165826643297</v>
      </c>
    </row>
    <row r="41" customFormat="false" ht="15" hidden="false" customHeight="true" outlineLevel="0" collapsed="false">
      <c r="A41" s="25" t="n">
        <v>17</v>
      </c>
      <c r="B41" s="27" t="n">
        <f aca="false">B$8+(B$7-B$8)*EXP(-($A41-1)/B$9)</f>
        <v>0.0940959004876566</v>
      </c>
      <c r="C41" s="27" t="n">
        <f aca="false">C$8+(C$7-C$8)*EXP(-($A41-1)/C$9)</f>
        <v>0.0846809762535185</v>
      </c>
      <c r="D41" s="27" t="n">
        <f aca="false">D$8+(D$7-D$8)*EXP(-($A41-1)/D$9)</f>
        <v>0.0834777297180795</v>
      </c>
      <c r="E41" s="28" t="n">
        <f aca="false">(1+B41)*E40</f>
        <v>7.91609683814493</v>
      </c>
      <c r="F41" s="28" t="n">
        <f aca="false">(1+C41)*F40</f>
        <v>5.88294159503284</v>
      </c>
      <c r="G41" s="28" t="n">
        <f aca="false">(1+D41)*G40</f>
        <v>3.32807332498456</v>
      </c>
    </row>
    <row r="42" customFormat="false" ht="15" hidden="false" customHeight="true" outlineLevel="0" collapsed="false">
      <c r="A42" s="25" t="n">
        <v>18</v>
      </c>
      <c r="B42" s="27" t="n">
        <f aca="false">B$8+(B$7-B$8)*EXP(-($A42-1)/B$9)</f>
        <v>0.0926302273652391</v>
      </c>
      <c r="C42" s="27" t="n">
        <f aca="false">C$8+(C$7-C$8)*EXP(-($A42-1)/C$9)</f>
        <v>0.0844516495374763</v>
      </c>
      <c r="D42" s="27" t="n">
        <f aca="false">D$8+(D$7-D$8)*EXP(-($A42-1)/D$9)</f>
        <v>0.0835679327337517</v>
      </c>
      <c r="E42" s="28" t="n">
        <f aca="false">(1+B42)*E41</f>
        <v>8.64936668810754</v>
      </c>
      <c r="F42" s="28" t="n">
        <f aca="false">(1+C42)*F41</f>
        <v>6.37976571686599</v>
      </c>
      <c r="G42" s="28" t="n">
        <f aca="false">(1+D42)*G41</f>
        <v>3.60619353273986</v>
      </c>
    </row>
    <row r="43" customFormat="false" ht="15" hidden="false" customHeight="true" outlineLevel="0" collapsed="false">
      <c r="A43" s="25" t="n">
        <v>19</v>
      </c>
      <c r="B43" s="27" t="n">
        <f aca="false">B$8+(B$7-B$8)*EXP(-($A43-1)/B$9)</f>
        <v>0.0913735534858702</v>
      </c>
      <c r="C43" s="27" t="n">
        <f aca="false">C$8+(C$7-C$8)*EXP(-($A43-1)/C$9)</f>
        <v>0.0842832219820746</v>
      </c>
      <c r="D43" s="27" t="n">
        <f aca="false">D$8+(D$7-D$8)*EXP(-($A43-1)/D$9)</f>
        <v>0.0836341817678011</v>
      </c>
      <c r="E43" s="28" t="n">
        <f aca="false">(1+B43)*E42</f>
        <v>9.43969005780224</v>
      </c>
      <c r="F43" s="28" t="n">
        <f aca="false">(1+C43)*F42</f>
        <v>6.91747292697424</v>
      </c>
      <c r="G43" s="28" t="n">
        <f aca="false">(1+D43)*G42</f>
        <v>3.9077945781469</v>
      </c>
    </row>
    <row r="44" customFormat="false" ht="15" hidden="false" customHeight="true" outlineLevel="0" collapsed="false">
      <c r="A44" s="25" t="n">
        <v>20</v>
      </c>
      <c r="B44" s="27" t="n">
        <f aca="false">B$8+(B$7-B$8)*EXP(-($A44-1)/B$9)</f>
        <v>0.0902960763765927</v>
      </c>
      <c r="C44" s="27" t="n">
        <f aca="false">C$8+(C$7-C$8)*EXP(-($A44-1)/C$9)</f>
        <v>0.0841595214298313</v>
      </c>
      <c r="D44" s="27" t="n">
        <f aca="false">D$8+(D$7-D$8)*EXP(-($A44-1)/D$9)</f>
        <v>0.0836828379516302</v>
      </c>
      <c r="E44" s="28" t="n">
        <f aca="false">(1+B44)*E43</f>
        <v>10.2920570322329</v>
      </c>
      <c r="F44" s="28" t="n">
        <f aca="false">(1+C44)*F43</f>
        <v>7.4996441380122</v>
      </c>
      <c r="G44" s="28" t="n">
        <f aca="false">(1+D44)*G43</f>
        <v>4.23480991857822</v>
      </c>
    </row>
    <row r="45" customFormat="false" ht="15" hidden="false" customHeight="true" outlineLevel="0" collapsed="false">
      <c r="A45" s="25" t="n">
        <v>21</v>
      </c>
      <c r="B45" s="27" t="n">
        <f aca="false">B$8+(B$7-B$8)*EXP(-($A45-1)/B$9)</f>
        <v>0.0893722432802926</v>
      </c>
      <c r="C45" s="27" t="n">
        <f aca="false">C$8+(C$7-C$8)*EXP(-($A45-1)/C$9)</f>
        <v>0.0840686703420219</v>
      </c>
      <c r="D45" s="27" t="n">
        <f aca="false">D$8+(D$7-D$8)*EXP(-($A45-1)/D$9)</f>
        <v>0.0837185731779437</v>
      </c>
      <c r="E45" s="28" t="n">
        <f aca="false">(1+B45)*E44</f>
        <v>11.2118812571723</v>
      </c>
      <c r="F45" s="28" t="n">
        <f aca="false">(1+C45)*F44</f>
        <v>8.13012924873323</v>
      </c>
      <c r="G45" s="28" t="n">
        <f aca="false">(1+D45)*G44</f>
        <v>4.5893421626414</v>
      </c>
    </row>
    <row r="46" customFormat="false" ht="15" hidden="false" customHeight="true" outlineLevel="0" collapsed="false">
      <c r="A46" s="25" t="n">
        <v>22</v>
      </c>
      <c r="B46" s="27" t="n">
        <f aca="false">B$8+(B$7-B$8)*EXP(-($A46-1)/B$9)</f>
        <v>0.0885801451628747</v>
      </c>
      <c r="C46" s="27" t="n">
        <f aca="false">C$8+(C$7-C$8)*EXP(-($A46-1)/C$9)</f>
        <v>0.0840019453354924</v>
      </c>
      <c r="D46" s="27" t="n">
        <f aca="false">D$8+(D$7-D$8)*EXP(-($A46-1)/D$9)</f>
        <v>0.0837448186887746</v>
      </c>
      <c r="E46" s="28" t="n">
        <f aca="false">(1+B46)*E45</f>
        <v>12.2050313264815</v>
      </c>
      <c r="F46" s="28" t="n">
        <f aca="false">(1+C46)*F45</f>
        <v>8.8130759214558</v>
      </c>
      <c r="G46" s="28" t="n">
        <f aca="false">(1+D46)*G45</f>
        <v>4.97367578995255</v>
      </c>
    </row>
    <row r="47" customFormat="false" ht="15" hidden="false" customHeight="true" outlineLevel="0" collapsed="false">
      <c r="A47" s="25" t="n">
        <v>23</v>
      </c>
      <c r="B47" s="27" t="n">
        <f aca="false">B$8+(B$7-B$8)*EXP(-($A47-1)/B$9)</f>
        <v>0.087900997132641</v>
      </c>
      <c r="C47" s="27" t="n">
        <f aca="false">C$8+(C$7-C$8)*EXP(-($A47-1)/C$9)</f>
        <v>0.0839529395766874</v>
      </c>
      <c r="D47" s="27" t="n">
        <f aca="false">D$8+(D$7-D$8)*EXP(-($A47-1)/D$9)</f>
        <v>0.083764094538121</v>
      </c>
      <c r="E47" s="28" t="n">
        <f aca="false">(1+B47)*E46</f>
        <v>13.2778657501144</v>
      </c>
      <c r="F47" s="28" t="n">
        <f aca="false">(1+C47)*F46</f>
        <v>9.55295955177454</v>
      </c>
      <c r="G47" s="28" t="n">
        <f aca="false">(1+D47)*G46</f>
        <v>5.3902912390241</v>
      </c>
    </row>
    <row r="48" customFormat="false" ht="15" hidden="false" customHeight="true" outlineLevel="0" collapsed="false">
      <c r="A48" s="25" t="n">
        <v>24</v>
      </c>
      <c r="B48" s="27" t="n">
        <f aca="false">B$8+(B$7-B$8)*EXP(-($A48-1)/B$9)</f>
        <v>0.0873186929498285</v>
      </c>
      <c r="C48" s="27" t="n">
        <f aca="false">C$8+(C$7-C$8)*EXP(-($A48-1)/C$9)</f>
        <v>0.0839169476072449</v>
      </c>
      <c r="D48" s="27" t="n">
        <f aca="false">D$8+(D$7-D$8)*EXP(-($A48-1)/D$9)</f>
        <v>0.0837782515636945</v>
      </c>
      <c r="E48" s="28" t="n">
        <f aca="false">(1+B48)*E47</f>
        <v>14.4372716325776</v>
      </c>
      <c r="F48" s="28" t="n">
        <f aca="false">(1+C48)*F47</f>
        <v>10.3546147579749</v>
      </c>
      <c r="G48" s="28" t="n">
        <f aca="false">(1+D48)*G47</f>
        <v>5.84188041444864</v>
      </c>
    </row>
    <row r="49" customFormat="false" ht="15" hidden="false" customHeight="true" outlineLevel="0" collapsed="false">
      <c r="A49" s="25" t="n">
        <v>25</v>
      </c>
      <c r="B49" s="27" t="n">
        <f aca="false">B$8+(B$7-B$8)*EXP(-($A49-1)/B$9)</f>
        <v>0.0868194230613416</v>
      </c>
      <c r="C49" s="27" t="n">
        <f aca="false">C$8+(C$7-C$8)*EXP(-($A49-1)/C$9)</f>
        <v>0.0838905135330476</v>
      </c>
      <c r="D49" s="27" t="n">
        <f aca="false">D$8+(D$7-D$8)*EXP(-($A49-1)/D$9)</f>
        <v>0.0837886491015403</v>
      </c>
      <c r="E49" s="28" t="n">
        <f aca="false">(1+B49)*E48</f>
        <v>15.6907072262979</v>
      </c>
      <c r="F49" s="28" t="n">
        <f aca="false">(1+C49)*F48</f>
        <v>11.2232687074583</v>
      </c>
      <c r="G49" s="28" t="n">
        <f aca="false">(1+D49)*G48</f>
        <v>6.33136368258804</v>
      </c>
    </row>
    <row r="50" customFormat="false" ht="15" hidden="false" customHeight="true" outlineLevel="0" collapsed="false">
      <c r="A50" s="25" t="n">
        <v>26</v>
      </c>
      <c r="B50" s="27" t="n">
        <f aca="false">B$8+(B$7-B$8)*EXP(-($A50-1)/B$9)</f>
        <v>0.0863913471022341</v>
      </c>
      <c r="C50" s="27" t="n">
        <f aca="false">C$8+(C$7-C$8)*EXP(-($A50-1)/C$9)</f>
        <v>0.08387109919453</v>
      </c>
      <c r="D50" s="27" t="n">
        <f aca="false">D$8+(D$7-D$8)*EXP(-($A50-1)/D$9)</f>
        <v>0.0837962855074148</v>
      </c>
      <c r="E50" s="28" t="n">
        <f aca="false">(1+B50)*E49</f>
        <v>17.0462485605645</v>
      </c>
      <c r="F50" s="28" t="n">
        <f aca="false">(1+C50)*F49</f>
        <v>12.1645765905084</v>
      </c>
      <c r="G50" s="28" t="n">
        <f aca="false">(1+D50)*G49</f>
        <v>6.86190844138546</v>
      </c>
    </row>
    <row r="51" customFormat="false" ht="15" hidden="false" customHeight="true" outlineLevel="0" collapsed="false">
      <c r="A51" s="25" t="n">
        <v>27</v>
      </c>
      <c r="B51" s="27" t="n">
        <f aca="false">B$8+(B$7-B$8)*EXP(-($A51-1)/B$9)</f>
        <v>0.086024313097197</v>
      </c>
      <c r="C51" s="27" t="n">
        <f aca="false">C$8+(C$7-C$8)*EXP(-($A51-1)/C$9)</f>
        <v>0.0838568404564611</v>
      </c>
      <c r="D51" s="27" t="n">
        <f aca="false">D$8+(D$7-D$8)*EXP(-($A51-1)/D$9)</f>
        <v>0.0838018940173856</v>
      </c>
      <c r="E51" s="28" t="n">
        <f aca="false">(1+B51)*E50</f>
        <v>18.5126403838712</v>
      </c>
      <c r="F51" s="28" t="n">
        <f aca="false">(1+C51)*F50</f>
        <v>13.1846595488791</v>
      </c>
      <c r="G51" s="28" t="n">
        <f aca="false">(1+D51)*G50</f>
        <v>7.43694936534745</v>
      </c>
    </row>
    <row r="52" customFormat="false" ht="15" hidden="false" customHeight="true" outlineLevel="0" collapsed="false">
      <c r="A52" s="25" t="n">
        <v>28</v>
      </c>
      <c r="B52" s="27" t="n">
        <f aca="false">B$8+(B$7-B$8)*EXP(-($A52-1)/B$9)</f>
        <v>0.085709616702813</v>
      </c>
      <c r="C52" s="27" t="n">
        <f aca="false">C$8+(C$7-C$8)*EXP(-($A52-1)/C$9)</f>
        <v>0.0838463682165167</v>
      </c>
      <c r="D52" s="27" t="n">
        <f aca="false">D$8+(D$7-D$8)*EXP(-($A52-1)/D$9)</f>
        <v>0.0838060131520426</v>
      </c>
      <c r="E52" s="28" t="n">
        <f aca="false">(1+B52)*E51</f>
        <v>20.0993516953298</v>
      </c>
      <c r="F52" s="28" t="n">
        <f aca="false">(1+C52)*F51</f>
        <v>14.2901453682238</v>
      </c>
      <c r="G52" s="28" t="n">
        <f aca="false">(1+D52)*G51</f>
        <v>8.06021044167083</v>
      </c>
    </row>
    <row r="53" customFormat="false" ht="15" hidden="false" customHeight="true" outlineLevel="0" collapsed="false">
      <c r="A53" s="25" t="n">
        <v>29</v>
      </c>
      <c r="B53" s="27" t="n">
        <f aca="false">B$8+(B$7-B$8)*EXP(-($A53-1)/B$9)</f>
        <v>0.0854397947809225</v>
      </c>
      <c r="C53" s="27" t="n">
        <f aca="false">C$8+(C$7-C$8)*EXP(-($A53-1)/C$9)</f>
        <v>0.0838386769461586</v>
      </c>
      <c r="D53" s="27" t="n">
        <f aca="false">D$8+(D$7-D$8)*EXP(-($A53-1)/D$9)</f>
        <v>0.0838090384244253</v>
      </c>
      <c r="E53" s="28" t="n">
        <f aca="false">(1+B53)*E52</f>
        <v>21.8166361794084</v>
      </c>
      <c r="F53" s="28" t="n">
        <f aca="false">(1+C53)*F52</f>
        <v>15.488212249264</v>
      </c>
      <c r="G53" s="28" t="n">
        <f aca="false">(1+D53)*G52</f>
        <v>8.73572892828577</v>
      </c>
    </row>
    <row r="54" customFormat="false" ht="15" hidden="false" customHeight="true" outlineLevel="0" collapsed="false">
      <c r="A54" s="25" t="n">
        <v>30</v>
      </c>
      <c r="B54" s="27" t="n">
        <f aca="false">B$8+(B$7-B$8)*EXP(-($A54-1)/B$9)</f>
        <v>0.0852084484076182</v>
      </c>
      <c r="C54" s="27" t="n">
        <f aca="false">C$8+(C$7-C$8)*EXP(-($A54-1)/C$9)</f>
        <v>0.083833028141315</v>
      </c>
      <c r="D54" s="27" t="n">
        <f aca="false">D$8+(D$7-D$8)*EXP(-($A54-1)/D$9)</f>
        <v>0.0838112603165826</v>
      </c>
      <c r="E54" s="28" t="n">
        <f aca="false">(1+B54)*E53</f>
        <v>23.6755978977293</v>
      </c>
      <c r="F54" s="28" t="n">
        <f aca="false">(1+C54)*F53</f>
        <v>16.7866359826152</v>
      </c>
      <c r="G54" s="28" t="n">
        <f aca="false">(1+D54)*G53</f>
        <v>9.46788137954943</v>
      </c>
    </row>
    <row r="57" customFormat="false" ht="15" hidden="false" customHeight="true" outlineLevel="0" collapsed="false">
      <c r="A57" s="26" t="s">
        <v>173</v>
      </c>
    </row>
    <row r="58" customFormat="false" ht="15" hidden="false" customHeight="true" outlineLevel="0" collapsed="false">
      <c r="A58" s="15" t="s">
        <v>111</v>
      </c>
      <c r="B58" s="15" t="s">
        <v>174</v>
      </c>
      <c r="C58" s="15" t="s">
        <v>172</v>
      </c>
      <c r="D58" s="15" t="s">
        <v>175</v>
      </c>
      <c r="E58" s="15" t="s">
        <v>116</v>
      </c>
    </row>
    <row r="59" customFormat="false" ht="15" hidden="false" customHeight="true" outlineLevel="0" collapsed="false">
      <c r="A59" s="25" t="s">
        <v>176</v>
      </c>
      <c r="B59" s="25" t="s">
        <v>177</v>
      </c>
      <c r="C59" s="25" t="s">
        <v>178</v>
      </c>
      <c r="D59" s="25" t="s">
        <v>179</v>
      </c>
      <c r="E59" s="25" t="s">
        <v>180</v>
      </c>
    </row>
    <row r="60" customFormat="false" ht="15" hidden="false" customHeight="true" outlineLevel="0" collapsed="false">
      <c r="A60" s="25" t="s">
        <v>181</v>
      </c>
      <c r="B60" s="25" t="s">
        <v>182</v>
      </c>
      <c r="C60" s="25" t="s">
        <v>183</v>
      </c>
      <c r="D60" s="25" t="s">
        <v>184</v>
      </c>
      <c r="E60" s="25" t="s">
        <v>180</v>
      </c>
    </row>
    <row r="61" customFormat="false" ht="15" hidden="false" customHeight="true" outlineLevel="0" collapsed="false">
      <c r="A61" s="25" t="s">
        <v>132</v>
      </c>
      <c r="B61" s="25" t="s">
        <v>185</v>
      </c>
      <c r="C61" s="25" t="s">
        <v>186</v>
      </c>
      <c r="D61" s="25" t="s">
        <v>187</v>
      </c>
      <c r="E61" s="25" t="s">
        <v>188</v>
      </c>
    </row>
    <row r="62" customFormat="false" ht="15" hidden="false" customHeight="true" outlineLevel="0" collapsed="false">
      <c r="A62" s="25" t="s">
        <v>189</v>
      </c>
      <c r="B62" s="25" t="s">
        <v>190</v>
      </c>
      <c r="C62" s="25" t="s">
        <v>191</v>
      </c>
      <c r="D62" s="25" t="s">
        <v>192</v>
      </c>
      <c r="E62" s="25" t="s">
        <v>193</v>
      </c>
    </row>
    <row r="63" customFormat="false" ht="15" hidden="false" customHeight="true" outlineLevel="0" collapsed="false">
      <c r="A63" s="25" t="s">
        <v>120</v>
      </c>
      <c r="B63" s="25" t="s">
        <v>194</v>
      </c>
      <c r="C63" s="25" t="s">
        <v>195</v>
      </c>
      <c r="D63" s="25" t="s">
        <v>196</v>
      </c>
      <c r="E63" s="25" t="s">
        <v>197</v>
      </c>
    </row>
    <row r="64" customFormat="false" ht="15" hidden="false" customHeight="true" outlineLevel="0" collapsed="false">
      <c r="A64" s="25" t="s">
        <v>198</v>
      </c>
      <c r="B64" s="25" t="s">
        <v>199</v>
      </c>
      <c r="C64" s="25" t="s">
        <v>200</v>
      </c>
      <c r="D64" s="25" t="s">
        <v>201</v>
      </c>
      <c r="E64" s="25" t="s">
        <v>202</v>
      </c>
    </row>
    <row r="65" customFormat="false" ht="15" hidden="false" customHeight="true" outlineLevel="0" collapsed="false">
      <c r="A65" s="25" t="s">
        <v>203</v>
      </c>
      <c r="B65" s="25" t="s">
        <v>204</v>
      </c>
      <c r="C65" s="25" t="s">
        <v>205</v>
      </c>
      <c r="D65" s="25" t="s">
        <v>206</v>
      </c>
      <c r="E65" s="25" t="s">
        <v>207</v>
      </c>
    </row>
    <row r="66" customFormat="false" ht="15" hidden="false" customHeight="true" outlineLevel="0" collapsed="false">
      <c r="A66" s="25" t="s">
        <v>208</v>
      </c>
      <c r="B66" s="25" t="s">
        <v>209</v>
      </c>
      <c r="C66" s="25" t="s">
        <v>210</v>
      </c>
      <c r="D66" s="25" t="s">
        <v>211</v>
      </c>
      <c r="E66" s="25" t="s">
        <v>212</v>
      </c>
    </row>
    <row r="67" customFormat="false" ht="15" hidden="false" customHeight="true" outlineLevel="0" collapsed="false">
      <c r="A67" s="25" t="s">
        <v>213</v>
      </c>
      <c r="B67" s="25" t="s">
        <v>214</v>
      </c>
      <c r="C67" s="25" t="s">
        <v>215</v>
      </c>
      <c r="D67" s="25" t="s">
        <v>216</v>
      </c>
      <c r="E67" s="25" t="s">
        <v>217</v>
      </c>
    </row>
    <row r="68" customFormat="false" ht="15" hidden="false" customHeight="true" outlineLevel="0" collapsed="false">
      <c r="A68" s="25" t="s">
        <v>218</v>
      </c>
      <c r="B68" s="25" t="s">
        <v>219</v>
      </c>
      <c r="C68" s="25" t="s">
        <v>220</v>
      </c>
      <c r="D68" s="25" t="s">
        <v>221</v>
      </c>
      <c r="E68" s="25" t="s">
        <v>222</v>
      </c>
    </row>
    <row r="69" customFormat="false" ht="15" hidden="false" customHeight="true" outlineLevel="0" collapsed="false">
      <c r="A69" s="25" t="s">
        <v>223</v>
      </c>
      <c r="B69" s="25" t="s">
        <v>224</v>
      </c>
      <c r="C69" s="25" t="s">
        <v>225</v>
      </c>
      <c r="D69" s="25" t="s">
        <v>226</v>
      </c>
      <c r="E69" s="25" t="s">
        <v>227</v>
      </c>
    </row>
    <row r="70" customFormat="false" ht="15" hidden="false" customHeight="true" outlineLevel="0" collapsed="false">
      <c r="A70" s="25" t="s">
        <v>228</v>
      </c>
      <c r="B70" s="25" t="s">
        <v>229</v>
      </c>
      <c r="C70" s="25" t="s">
        <v>230</v>
      </c>
      <c r="D70" s="25" t="s">
        <v>231</v>
      </c>
      <c r="E70" s="25" t="s">
        <v>232</v>
      </c>
    </row>
    <row r="72" customFormat="false" ht="15" hidden="false" customHeight="true" outlineLevel="0" collapsed="false">
      <c r="A72" s="1" t="s">
        <v>233</v>
      </c>
      <c r="B72" s="9" t="n">
        <f aca="false">AVERAGE('Biến động thu nhập household (k'!D8:D9)</f>
        <v>-0.0159822569060982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30"/>
      <c r="B1" s="31" t="n">
        <v>2016</v>
      </c>
      <c r="C1" s="31" t="n">
        <v>2017</v>
      </c>
      <c r="D1" s="31" t="n">
        <v>2018</v>
      </c>
      <c r="E1" s="31" t="n">
        <v>2019</v>
      </c>
      <c r="F1" s="31" t="n">
        <v>2020</v>
      </c>
      <c r="G1" s="31" t="n">
        <v>2021</v>
      </c>
      <c r="H1" s="31" t="n">
        <v>2022</v>
      </c>
      <c r="I1" s="31" t="n">
        <v>2023</v>
      </c>
      <c r="J1" s="31" t="n">
        <v>2024</v>
      </c>
      <c r="K1" s="31" t="n">
        <v>2025</v>
      </c>
    </row>
    <row r="2" customFormat="false" ht="15.75" hidden="false" customHeight="true" outlineLevel="0" collapsed="false">
      <c r="A2" s="31" t="s">
        <v>234</v>
      </c>
      <c r="B2" s="32" t="n">
        <v>0.0266824817</v>
      </c>
      <c r="C2" s="32" t="n">
        <v>0.03520256888</v>
      </c>
      <c r="D2" s="32" t="n">
        <v>0.03539628059</v>
      </c>
      <c r="E2" s="32" t="n">
        <v>0.02795823675</v>
      </c>
      <c r="F2" s="32" t="n">
        <v>0.03220934367</v>
      </c>
      <c r="G2" s="32" t="n">
        <v>0.01834715548</v>
      </c>
      <c r="H2" s="32" t="n">
        <v>0.031565075</v>
      </c>
      <c r="I2" s="32" t="n">
        <v>0.03252892827</v>
      </c>
      <c r="J2" s="32" t="n">
        <v>0.03621092739</v>
      </c>
      <c r="K2" s="32" t="n">
        <v>0.03309993142</v>
      </c>
    </row>
    <row r="4" customFormat="false" ht="15.75" hidden="false" customHeight="true" outlineLevel="0" collapsed="false">
      <c r="A4" s="33" t="s">
        <v>235</v>
      </c>
    </row>
    <row r="6" customFormat="false" ht="15.75" hidden="false" customHeight="true" outlineLevel="0" collapsed="false">
      <c r="A6" s="4" t="s">
        <v>236</v>
      </c>
      <c r="B6" s="34" t="n">
        <f aca="false">AVERAGE(B2:K2)</f>
        <v>0.030920092915</v>
      </c>
    </row>
    <row r="7" customFormat="false" ht="15.75" hidden="false" customHeight="true" outlineLevel="0" collapsed="false">
      <c r="A7" s="4" t="s">
        <v>237</v>
      </c>
      <c r="B7" s="34" t="n">
        <f aca="false">STDEV(B2:K2)</f>
        <v>0.00538099225605131</v>
      </c>
    </row>
    <row r="9" customFormat="false" ht="15.75" hidden="false" customHeight="true" outlineLevel="0" collapsed="false">
      <c r="A9" s="3" t="s">
        <v>238</v>
      </c>
    </row>
  </sheetData>
  <hyperlinks>
    <hyperlink ref="A4" r:id="rId1" display="https://data.worldbank.org/indicator/FP.CPI.TOTL.ZG?end=2025&amp;locations=VN&amp;start=2016&amp;view=ch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30"/>
      <c r="B1" s="31" t="n">
        <v>2016</v>
      </c>
      <c r="C1" s="31" t="n">
        <v>2017</v>
      </c>
      <c r="D1" s="31" t="n">
        <v>2018</v>
      </c>
      <c r="E1" s="31" t="n">
        <v>2019</v>
      </c>
      <c r="F1" s="31" t="n">
        <v>2020</v>
      </c>
      <c r="G1" s="31" t="n">
        <v>2021</v>
      </c>
      <c r="H1" s="31" t="n">
        <v>2022</v>
      </c>
      <c r="I1" s="31" t="n">
        <v>2023</v>
      </c>
      <c r="J1" s="31" t="n">
        <v>2024</v>
      </c>
      <c r="K1" s="31" t="n">
        <v>2025</v>
      </c>
      <c r="L1" s="30"/>
    </row>
    <row r="2" customFormat="false" ht="15.75" hidden="false" customHeight="true" outlineLevel="0" collapsed="false">
      <c r="A2" s="31" t="s">
        <v>234</v>
      </c>
      <c r="B2" s="35" t="n">
        <v>2735.06044</v>
      </c>
      <c r="C2" s="35" t="n">
        <v>2956.10992</v>
      </c>
      <c r="D2" s="35" t="n">
        <v>3222.31003</v>
      </c>
      <c r="E2" s="35" t="n">
        <v>3440.90025</v>
      </c>
      <c r="F2" s="35" t="n">
        <v>3534.03953</v>
      </c>
      <c r="G2" s="35" t="n">
        <v>3704.19356</v>
      </c>
      <c r="H2" s="35" t="n">
        <v>4147.69777</v>
      </c>
      <c r="I2" s="35" t="n">
        <v>4322.82572</v>
      </c>
      <c r="J2" s="35" t="n">
        <v>4716.65994</v>
      </c>
      <c r="K2" s="35" t="n">
        <v>5065.99092</v>
      </c>
      <c r="L2" s="31" t="s">
        <v>239</v>
      </c>
    </row>
    <row r="3" customFormat="false" ht="15.75" hidden="false" customHeight="true" outlineLevel="0" collapsed="false">
      <c r="A3" s="30"/>
      <c r="B3" s="32" t="n">
        <v>0.05354270972</v>
      </c>
      <c r="C3" s="32" t="n">
        <v>0.05617878651</v>
      </c>
      <c r="D3" s="32" t="n">
        <v>0.06280958282</v>
      </c>
      <c r="E3" s="32" t="n">
        <v>0.06324648866</v>
      </c>
      <c r="F3" s="32" t="n">
        <v>0.01915814348</v>
      </c>
      <c r="G3" s="32" t="n">
        <v>0.01666516042</v>
      </c>
      <c r="H3" s="32" t="n">
        <v>0.07725699033</v>
      </c>
      <c r="I3" s="32" t="n">
        <v>0.0427616319</v>
      </c>
      <c r="J3" s="32" t="n">
        <v>0.06365974868</v>
      </c>
      <c r="K3" s="32" t="n">
        <v>0.07369388191</v>
      </c>
      <c r="L3" s="31" t="s">
        <v>240</v>
      </c>
    </row>
    <row r="4" customFormat="false" ht="15.75" hidden="false" customHeight="true" outlineLevel="0" collapsed="false">
      <c r="A4" s="33" t="s">
        <v>241</v>
      </c>
    </row>
    <row r="6" customFormat="false" ht="15.75" hidden="false" customHeight="true" outlineLevel="0" collapsed="false">
      <c r="A6" s="3" t="s">
        <v>242</v>
      </c>
    </row>
  </sheetData>
  <hyperlinks>
    <hyperlink ref="A4" r:id="rId1" display="https://data.worldbank.org/indicator/NY.GDP.PCAP.KD.ZG?end=2025&amp;locations=VN&amp;start=201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2.13"/>
    <col collapsed="false" customWidth="true" hidden="false" outlineLevel="0" max="5" min="5" style="1" width="14.88"/>
  </cols>
  <sheetData>
    <row r="1" customFormat="false" ht="28.5" hidden="false" customHeight="true" outlineLevel="0" collapsed="false">
      <c r="A1" s="31" t="s">
        <v>243</v>
      </c>
      <c r="B1" s="31" t="s">
        <v>244</v>
      </c>
      <c r="C1" s="31" t="s">
        <v>245</v>
      </c>
      <c r="D1" s="30" t="s">
        <v>246</v>
      </c>
      <c r="E1" s="31"/>
      <c r="F1" s="31" t="s">
        <v>247</v>
      </c>
      <c r="G1" s="31"/>
      <c r="H1" s="31"/>
      <c r="I1" s="31"/>
      <c r="J1" s="31"/>
      <c r="K1" s="31"/>
      <c r="L1" s="31"/>
    </row>
    <row r="2" customFormat="false" ht="15.75" hidden="false" customHeight="true" outlineLevel="0" collapsed="false">
      <c r="A2" s="36" t="n">
        <v>42398</v>
      </c>
      <c r="B2" s="37" t="n">
        <v>32890000</v>
      </c>
      <c r="C2" s="38"/>
    </row>
    <row r="3" customFormat="false" ht="15.75" hidden="false" customHeight="true" outlineLevel="0" collapsed="false">
      <c r="A3" s="36" t="n">
        <v>42429</v>
      </c>
      <c r="B3" s="37" t="n">
        <v>33590000</v>
      </c>
      <c r="C3" s="38" t="n">
        <f aca="false">B3/B2 -1</f>
        <v>0.0212830647613256</v>
      </c>
      <c r="E3" s="31" t="s">
        <v>248</v>
      </c>
      <c r="F3" s="38" t="n">
        <f aca="false">STDEV(C3:C130)</f>
        <v>0.0407778872229152</v>
      </c>
    </row>
    <row r="4" customFormat="false" ht="15.75" hidden="false" customHeight="true" outlineLevel="0" collapsed="false">
      <c r="A4" s="36" t="n">
        <v>42460</v>
      </c>
      <c r="B4" s="37" t="n">
        <v>33340000</v>
      </c>
      <c r="C4" s="38" t="n">
        <f aca="false">B4/B3 -1</f>
        <v>-0.00744269127716579</v>
      </c>
      <c r="E4" s="31" t="s">
        <v>249</v>
      </c>
      <c r="F4" s="38" t="n">
        <f aca="false">AVERAGE(C3:C130)</f>
        <v>0.0124112073825593</v>
      </c>
    </row>
    <row r="5" customFormat="false" ht="15.75" hidden="false" customHeight="true" outlineLevel="0" collapsed="false">
      <c r="A5" s="36" t="n">
        <v>42489</v>
      </c>
      <c r="B5" s="37" t="n">
        <v>33800000</v>
      </c>
      <c r="C5" s="38" t="n">
        <f aca="false">B5/B4 -1</f>
        <v>0.0137972405518896</v>
      </c>
      <c r="E5" s="39" t="s">
        <v>250</v>
      </c>
      <c r="F5" s="40" t="n">
        <f aca="false">(B130/B2)^(12/(ROWS(B3:B130)))-1</f>
        <v>0.148774234169487</v>
      </c>
    </row>
    <row r="6" customFormat="false" ht="15.75" hidden="false" customHeight="true" outlineLevel="0" collapsed="false">
      <c r="A6" s="36" t="n">
        <v>42521</v>
      </c>
      <c r="B6" s="37" t="n">
        <v>33350000</v>
      </c>
      <c r="C6" s="38" t="n">
        <f aca="false">B6/B5 -1</f>
        <v>-0.0133136094674556</v>
      </c>
      <c r="E6" s="4" t="s">
        <v>251</v>
      </c>
      <c r="F6" s="34" t="n">
        <f aca="false">F4*12</f>
        <v>0.148934488590711</v>
      </c>
    </row>
    <row r="7" customFormat="false" ht="15.75" hidden="false" customHeight="true" outlineLevel="0" collapsed="false">
      <c r="A7" s="36" t="n">
        <v>42551</v>
      </c>
      <c r="B7" s="37" t="n">
        <v>35220000</v>
      </c>
      <c r="C7" s="38" t="n">
        <f aca="false">B7/B6 -1</f>
        <v>0.056071964017991</v>
      </c>
      <c r="E7" s="4" t="s">
        <v>252</v>
      </c>
      <c r="F7" s="34" t="n">
        <f aca="false">F3*SQRT(12)</f>
        <v>0.141258744990806</v>
      </c>
    </row>
    <row r="8" customFormat="false" ht="15.75" hidden="false" customHeight="true" outlineLevel="0" collapsed="false">
      <c r="A8" s="36" t="n">
        <v>42580</v>
      </c>
      <c r="B8" s="37" t="n">
        <v>36423000</v>
      </c>
      <c r="C8" s="38" t="n">
        <f aca="false">B8/B7 -1</f>
        <v>0.0341567291311755</v>
      </c>
    </row>
    <row r="9" customFormat="false" ht="15.75" hidden="false" customHeight="true" outlineLevel="0" collapsed="false">
      <c r="A9" s="36" t="n">
        <v>42613</v>
      </c>
      <c r="B9" s="37" t="n">
        <v>36218000</v>
      </c>
      <c r="C9" s="38" t="n">
        <f aca="false">B9/B8 -1</f>
        <v>-0.00562831178101753</v>
      </c>
      <c r="E9" s="3" t="s">
        <v>253</v>
      </c>
    </row>
    <row r="10" customFormat="false" ht="15.75" hidden="false" customHeight="true" outlineLevel="0" collapsed="false">
      <c r="A10" s="36" t="n">
        <v>42643</v>
      </c>
      <c r="B10" s="37" t="n">
        <v>36133000</v>
      </c>
      <c r="C10" s="38" t="n">
        <f aca="false">B10/B9 -1</f>
        <v>-0.00234689933182397</v>
      </c>
      <c r="E10" s="3" t="s">
        <v>254</v>
      </c>
    </row>
    <row r="11" customFormat="false" ht="15.75" hidden="false" customHeight="true" outlineLevel="0" collapsed="false">
      <c r="A11" s="41" t="n">
        <v>42674</v>
      </c>
      <c r="B11" s="37" t="n">
        <v>35423000</v>
      </c>
      <c r="C11" s="38" t="n">
        <f aca="false">B11/B10 -1</f>
        <v>-0.0196496277640937</v>
      </c>
      <c r="E11" s="3" t="s">
        <v>255</v>
      </c>
    </row>
    <row r="12" customFormat="false" ht="15.75" hidden="false" customHeight="true" outlineLevel="0" collapsed="false">
      <c r="A12" s="41" t="n">
        <v>42704</v>
      </c>
      <c r="B12" s="37" t="n">
        <v>34878000</v>
      </c>
      <c r="C12" s="38" t="n">
        <f aca="false">B12/B11 -1</f>
        <v>-0.0153854840075657</v>
      </c>
    </row>
    <row r="13" customFormat="false" ht="15.75" hidden="false" customHeight="true" outlineLevel="0" collapsed="false">
      <c r="A13" s="41" t="n">
        <v>42734</v>
      </c>
      <c r="B13" s="37" t="n">
        <v>35093000</v>
      </c>
      <c r="C13" s="38" t="n">
        <f aca="false">B13/B12 -1</f>
        <v>0.00616434428579615</v>
      </c>
      <c r="E13" s="25" t="s">
        <v>256</v>
      </c>
      <c r="F13" s="42" t="n">
        <f aca="false">AVERAGE(C3:C109)*12</f>
        <v>0.111150461640479</v>
      </c>
    </row>
    <row r="14" customFormat="false" ht="15.75" hidden="false" customHeight="true" outlineLevel="0" collapsed="false">
      <c r="A14" s="36" t="n">
        <v>42761</v>
      </c>
      <c r="B14" s="37" t="n">
        <v>35593000</v>
      </c>
      <c r="C14" s="38" t="n">
        <f aca="false">B14/B13 -1</f>
        <v>0.0142478556977175</v>
      </c>
      <c r="E14" s="25" t="s">
        <v>257</v>
      </c>
    </row>
    <row r="15" customFormat="false" ht="15.75" hidden="false" customHeight="true" outlineLevel="0" collapsed="false">
      <c r="A15" s="36" t="n">
        <v>42794</v>
      </c>
      <c r="B15" s="37" t="n">
        <v>35903000</v>
      </c>
      <c r="C15" s="38" t="n">
        <f aca="false">B15/B14 -1</f>
        <v>0.00870957772595737</v>
      </c>
    </row>
    <row r="16" customFormat="false" ht="15.75" hidden="false" customHeight="true" outlineLevel="0" collapsed="false">
      <c r="A16" s="36" t="n">
        <v>42825</v>
      </c>
      <c r="B16" s="37" t="n">
        <v>35583000</v>
      </c>
      <c r="C16" s="38" t="n">
        <f aca="false">B16/B15 -1</f>
        <v>-0.00891290421413249</v>
      </c>
    </row>
    <row r="17" customFormat="false" ht="15.75" hidden="false" customHeight="true" outlineLevel="0" collapsed="false">
      <c r="A17" s="36" t="n">
        <v>42853</v>
      </c>
      <c r="B17" s="37" t="n">
        <v>36023000</v>
      </c>
      <c r="C17" s="38" t="n">
        <f aca="false">B17/B16 -1</f>
        <v>0.0123654554141022</v>
      </c>
    </row>
    <row r="18" customFormat="false" ht="15.75" hidden="false" customHeight="true" outlineLevel="0" collapsed="false">
      <c r="A18" s="36" t="n">
        <v>42886</v>
      </c>
      <c r="B18" s="37" t="n">
        <v>35698000</v>
      </c>
      <c r="C18" s="38" t="n">
        <f aca="false">B18/B17 -1</f>
        <v>-0.0090220137134609</v>
      </c>
    </row>
    <row r="19" customFormat="false" ht="15.75" hidden="false" customHeight="true" outlineLevel="0" collapsed="false">
      <c r="A19" s="36" t="n">
        <v>42916</v>
      </c>
      <c r="B19" s="37" t="n">
        <v>35618000</v>
      </c>
      <c r="C19" s="38" t="n">
        <f aca="false">B19/B18 -1</f>
        <v>-0.00224102190598918</v>
      </c>
    </row>
    <row r="20" customFormat="false" ht="15.75" hidden="false" customHeight="true" outlineLevel="0" collapsed="false">
      <c r="A20" s="36" t="n">
        <v>42947</v>
      </c>
      <c r="B20" s="37" t="n">
        <v>35713000</v>
      </c>
      <c r="C20" s="38" t="n">
        <f aca="false">B20/B19 -1</f>
        <v>0.00266719074625188</v>
      </c>
    </row>
    <row r="21" customFormat="false" ht="15.75" hidden="false" customHeight="true" outlineLevel="0" collapsed="false">
      <c r="A21" s="36" t="n">
        <v>42978</v>
      </c>
      <c r="B21" s="37" t="n">
        <v>36193000</v>
      </c>
      <c r="C21" s="38" t="n">
        <f aca="false">B21/B20 -1</f>
        <v>0.0134404838574189</v>
      </c>
    </row>
    <row r="22" customFormat="false" ht="15.75" hidden="false" customHeight="true" outlineLevel="0" collapsed="false">
      <c r="A22" s="36" t="n">
        <v>43007</v>
      </c>
      <c r="B22" s="37" t="n">
        <v>36228000</v>
      </c>
      <c r="C22" s="38" t="n">
        <f aca="false">B22/B21 -1</f>
        <v>0.000967037824993744</v>
      </c>
    </row>
    <row r="23" customFormat="false" ht="15.75" hidden="false" customHeight="true" outlineLevel="0" collapsed="false">
      <c r="A23" s="41" t="n">
        <v>43039</v>
      </c>
      <c r="B23" s="37" t="n">
        <v>36078000</v>
      </c>
      <c r="C23" s="38" t="n">
        <f aca="false">B23/B22 -1</f>
        <v>-0.00414044385558132</v>
      </c>
    </row>
    <row r="24" customFormat="false" ht="15.75" hidden="false" customHeight="true" outlineLevel="0" collapsed="false">
      <c r="A24" s="41" t="n">
        <v>43069</v>
      </c>
      <c r="B24" s="37" t="n">
        <v>36258000</v>
      </c>
      <c r="C24" s="38" t="n">
        <f aca="false">B24/B23 -1</f>
        <v>0.00498919008814225</v>
      </c>
    </row>
    <row r="25" customFormat="false" ht="15.75" hidden="false" customHeight="true" outlineLevel="0" collapsed="false">
      <c r="A25" s="41" t="n">
        <v>43098</v>
      </c>
      <c r="B25" s="37" t="n">
        <v>36378000</v>
      </c>
      <c r="C25" s="38" t="n">
        <f aca="false">B25/B24 -1</f>
        <v>0.00330961442991895</v>
      </c>
    </row>
    <row r="26" customFormat="false" ht="15.75" hidden="false" customHeight="true" outlineLevel="0" collapsed="false">
      <c r="A26" s="36" t="n">
        <v>43131</v>
      </c>
      <c r="B26" s="37" t="n">
        <v>36968000</v>
      </c>
      <c r="C26" s="38" t="n">
        <f aca="false">B26/B25 -1</f>
        <v>0.0162185936555062</v>
      </c>
    </row>
    <row r="27" customFormat="false" ht="15.75" hidden="false" customHeight="true" outlineLevel="0" collapsed="false">
      <c r="A27" s="36" t="n">
        <v>43159</v>
      </c>
      <c r="B27" s="37" t="n">
        <v>36895000</v>
      </c>
      <c r="C27" s="38" t="n">
        <f aca="false">B27/B26 -1</f>
        <v>-0.00197468080502061</v>
      </c>
    </row>
    <row r="28" customFormat="false" ht="15.75" hidden="false" customHeight="true" outlineLevel="0" collapsed="false">
      <c r="A28" s="36" t="n">
        <v>43189</v>
      </c>
      <c r="B28" s="37" t="n">
        <v>36893000</v>
      </c>
      <c r="C28" s="38" t="n">
        <f aca="false">B28/B27 -1</f>
        <v>-5.4207887247637E-005</v>
      </c>
    </row>
    <row r="29" customFormat="false" ht="15.75" hidden="false" customHeight="true" outlineLevel="0" collapsed="false">
      <c r="A29" s="36" t="n">
        <v>43217</v>
      </c>
      <c r="B29" s="37" t="n">
        <v>36730000</v>
      </c>
      <c r="C29" s="38" t="n">
        <f aca="false">B29/B28 -1</f>
        <v>-0.00441818231100755</v>
      </c>
    </row>
    <row r="30" customFormat="false" ht="15.75" hidden="false" customHeight="true" outlineLevel="0" collapsed="false">
      <c r="A30" s="36" t="n">
        <v>43251</v>
      </c>
      <c r="B30" s="37" t="n">
        <v>36740000</v>
      </c>
      <c r="C30" s="38" t="n">
        <f aca="false">B30/B29 -1</f>
        <v>0.000272257010617949</v>
      </c>
    </row>
    <row r="31" customFormat="false" ht="15.75" hidden="false" customHeight="true" outlineLevel="0" collapsed="false">
      <c r="A31" s="36" t="n">
        <v>43280</v>
      </c>
      <c r="B31" s="37" t="n">
        <v>36780000</v>
      </c>
      <c r="C31" s="38" t="n">
        <f aca="false">B31/B30 -1</f>
        <v>0.00108873162765377</v>
      </c>
    </row>
    <row r="32" customFormat="false" ht="15.75" hidden="false" customHeight="true" outlineLevel="0" collapsed="false">
      <c r="A32" s="36" t="n">
        <v>43312</v>
      </c>
      <c r="B32" s="37" t="n">
        <v>36870000</v>
      </c>
      <c r="C32" s="38" t="n">
        <f aca="false">B32/B31 -1</f>
        <v>0.0024469820554649</v>
      </c>
    </row>
    <row r="33" customFormat="false" ht="15.75" hidden="false" customHeight="true" outlineLevel="0" collapsed="false">
      <c r="A33" s="36" t="n">
        <v>43343</v>
      </c>
      <c r="B33" s="37" t="n">
        <v>36730000</v>
      </c>
      <c r="C33" s="38" t="n">
        <f aca="false">B33/B32 -1</f>
        <v>-0.00379712503390295</v>
      </c>
    </row>
    <row r="34" customFormat="false" ht="15.75" hidden="false" customHeight="true" outlineLevel="0" collapsed="false">
      <c r="A34" s="36" t="n">
        <v>43371</v>
      </c>
      <c r="B34" s="37" t="n">
        <v>36470000</v>
      </c>
      <c r="C34" s="38" t="n">
        <f aca="false">B34/B33 -1</f>
        <v>-0.00707868227606856</v>
      </c>
    </row>
    <row r="35" customFormat="false" ht="15.75" hidden="false" customHeight="true" outlineLevel="0" collapsed="false">
      <c r="A35" s="41" t="n">
        <v>43404</v>
      </c>
      <c r="B35" s="37" t="n">
        <v>36510000</v>
      </c>
      <c r="C35" s="38" t="n">
        <f aca="false">B35/B34 -1</f>
        <v>0.00109679188374012</v>
      </c>
    </row>
    <row r="36" customFormat="false" ht="15.75" hidden="false" customHeight="true" outlineLevel="0" collapsed="false">
      <c r="A36" s="41" t="n">
        <v>43434</v>
      </c>
      <c r="B36" s="37" t="n">
        <v>36490000</v>
      </c>
      <c r="C36" s="38" t="n">
        <f aca="false">B36/B35 -1</f>
        <v>-0.00054779512462344</v>
      </c>
    </row>
    <row r="37" customFormat="false" ht="15.75" hidden="false" customHeight="true" outlineLevel="0" collapsed="false">
      <c r="A37" s="41" t="n">
        <v>43462</v>
      </c>
      <c r="B37" s="37" t="n">
        <v>36480000</v>
      </c>
      <c r="C37" s="38" t="n">
        <f aca="false">B37/B36 -1</f>
        <v>-0.000274047684297063</v>
      </c>
    </row>
    <row r="38" customFormat="false" ht="15.75" hidden="false" customHeight="true" outlineLevel="0" collapsed="false">
      <c r="A38" s="36" t="n">
        <v>43496</v>
      </c>
      <c r="B38" s="37" t="n">
        <v>36980000</v>
      </c>
      <c r="C38" s="38" t="n">
        <f aca="false">B38/B37 -1</f>
        <v>0.0137061403508771</v>
      </c>
    </row>
    <row r="39" customFormat="false" ht="15.75" hidden="false" customHeight="true" outlineLevel="0" collapsed="false">
      <c r="A39" s="36" t="n">
        <v>43524</v>
      </c>
      <c r="B39" s="37" t="n">
        <v>37020000</v>
      </c>
      <c r="C39" s="38" t="n">
        <f aca="false">B39/B38 -1</f>
        <v>0.00108166576527857</v>
      </c>
    </row>
    <row r="40" customFormat="false" ht="15.75" hidden="false" customHeight="true" outlineLevel="0" collapsed="false">
      <c r="A40" s="36" t="n">
        <v>43553</v>
      </c>
      <c r="B40" s="37" t="n">
        <v>36530000</v>
      </c>
      <c r="C40" s="38" t="n">
        <f aca="false">B40/B39 -1</f>
        <v>-0.0132360886007563</v>
      </c>
    </row>
    <row r="41" customFormat="false" ht="15.75" hidden="false" customHeight="true" outlineLevel="0" collapsed="false">
      <c r="A41" s="36" t="n">
        <v>43585</v>
      </c>
      <c r="B41" s="37" t="n">
        <v>36300000</v>
      </c>
      <c r="C41" s="38" t="n">
        <f aca="false">B41/B40 -1</f>
        <v>-0.00629619490829458</v>
      </c>
    </row>
    <row r="42" customFormat="false" ht="15.75" hidden="false" customHeight="true" outlineLevel="0" collapsed="false">
      <c r="A42" s="36" t="n">
        <v>43616</v>
      </c>
      <c r="B42" s="37" t="n">
        <v>36470000</v>
      </c>
      <c r="C42" s="38" t="n">
        <f aca="false">B42/B41 -1</f>
        <v>0.00468319559228658</v>
      </c>
    </row>
    <row r="43" customFormat="false" ht="15.75" hidden="false" customHeight="true" outlineLevel="0" collapsed="false">
      <c r="A43" s="36" t="n">
        <v>43644</v>
      </c>
      <c r="B43" s="37" t="n">
        <v>39050000</v>
      </c>
      <c r="C43" s="38" t="n">
        <f aca="false">B43/B42 -1</f>
        <v>0.0707430765012338</v>
      </c>
    </row>
    <row r="44" customFormat="false" ht="15.75" hidden="false" customHeight="true" outlineLevel="0" collapsed="false">
      <c r="A44" s="36" t="n">
        <v>43677</v>
      </c>
      <c r="B44" s="37" t="n">
        <v>39800000</v>
      </c>
      <c r="C44" s="38" t="n">
        <f aca="false">B44/B43 -1</f>
        <v>0.0192061459667094</v>
      </c>
    </row>
    <row r="45" customFormat="false" ht="15.75" hidden="false" customHeight="true" outlineLevel="0" collapsed="false">
      <c r="A45" s="36" t="n">
        <v>43707</v>
      </c>
      <c r="B45" s="37" t="n">
        <v>42650000</v>
      </c>
      <c r="C45" s="38" t="n">
        <f aca="false">B45/B44 -1</f>
        <v>0.0716080402010051</v>
      </c>
    </row>
    <row r="46" customFormat="false" ht="15.75" hidden="false" customHeight="true" outlineLevel="0" collapsed="false">
      <c r="A46" s="36" t="n">
        <v>43738</v>
      </c>
      <c r="B46" s="37" t="n">
        <v>41950000</v>
      </c>
      <c r="C46" s="38" t="n">
        <f aca="false">B46/B45 -1</f>
        <v>-0.0164126611957796</v>
      </c>
    </row>
    <row r="47" customFormat="false" ht="15.75" hidden="false" customHeight="true" outlineLevel="0" collapsed="false">
      <c r="A47" s="41" t="n">
        <v>43769</v>
      </c>
      <c r="B47" s="37" t="n">
        <v>41930000</v>
      </c>
      <c r="C47" s="38" t="n">
        <f aca="false">B47/B46 -1</f>
        <v>-0.000476758045292014</v>
      </c>
    </row>
    <row r="48" customFormat="false" ht="15.75" hidden="false" customHeight="true" outlineLevel="0" collapsed="false">
      <c r="A48" s="41" t="n">
        <v>43798</v>
      </c>
      <c r="B48" s="37" t="n">
        <v>41330000</v>
      </c>
      <c r="C48" s="38" t="n">
        <f aca="false">B48/B47 -1</f>
        <v>-0.0143095635583115</v>
      </c>
    </row>
    <row r="49" customFormat="false" ht="15.75" hidden="false" customHeight="true" outlineLevel="0" collapsed="false">
      <c r="A49" s="41" t="n">
        <v>43830</v>
      </c>
      <c r="B49" s="37" t="n">
        <v>42500000</v>
      </c>
      <c r="C49" s="38" t="n">
        <f aca="false">B49/B48 -1</f>
        <v>0.028308734575369</v>
      </c>
    </row>
    <row r="50" customFormat="false" ht="15.75" hidden="false" customHeight="true" outlineLevel="0" collapsed="false">
      <c r="A50" s="36" t="n">
        <v>43861</v>
      </c>
      <c r="B50" s="37" t="n">
        <v>44950000</v>
      </c>
      <c r="C50" s="38" t="n">
        <f aca="false">B50/B49 -1</f>
        <v>0.0576470588235294</v>
      </c>
    </row>
    <row r="51" customFormat="false" ht="15.75" hidden="false" customHeight="true" outlineLevel="0" collapsed="false">
      <c r="A51" s="36" t="n">
        <v>43889</v>
      </c>
      <c r="B51" s="37" t="n">
        <v>46600000</v>
      </c>
      <c r="C51" s="38" t="n">
        <f aca="false">B51/B50 -1</f>
        <v>0.0367074527252502</v>
      </c>
    </row>
    <row r="52" customFormat="false" ht="15.75" hidden="false" customHeight="true" outlineLevel="0" collapsed="false">
      <c r="A52" s="36" t="n">
        <v>43921</v>
      </c>
      <c r="B52" s="37" t="n">
        <v>48200000</v>
      </c>
      <c r="C52" s="38" t="n">
        <f aca="false">B52/B51 -1</f>
        <v>0.0343347639484979</v>
      </c>
    </row>
    <row r="53" customFormat="false" ht="15.75" hidden="false" customHeight="true" outlineLevel="0" collapsed="false">
      <c r="A53" s="36" t="n">
        <v>43950</v>
      </c>
      <c r="B53" s="37" t="n">
        <v>48500000</v>
      </c>
      <c r="C53" s="38" t="n">
        <f aca="false">B53/B52 -1</f>
        <v>0.00622406639004147</v>
      </c>
    </row>
    <row r="54" customFormat="false" ht="15.75" hidden="false" customHeight="true" outlineLevel="0" collapsed="false">
      <c r="A54" s="36" t="n">
        <v>43980</v>
      </c>
      <c r="B54" s="37" t="n">
        <v>48680000</v>
      </c>
      <c r="C54" s="38" t="n">
        <f aca="false">B54/B53 -1</f>
        <v>0.00371134020618547</v>
      </c>
    </row>
    <row r="55" customFormat="false" ht="15.75" hidden="false" customHeight="true" outlineLevel="0" collapsed="false">
      <c r="A55" s="36" t="n">
        <v>44012</v>
      </c>
      <c r="B55" s="37" t="n">
        <v>49320000</v>
      </c>
      <c r="C55" s="38" t="n">
        <f aca="false">B55/B54 -1</f>
        <v>0.0131470829909615</v>
      </c>
    </row>
    <row r="56" customFormat="false" ht="15.75" hidden="false" customHeight="true" outlineLevel="0" collapsed="false">
      <c r="A56" s="36" t="n">
        <v>44043</v>
      </c>
      <c r="B56" s="37" t="n">
        <v>57800000</v>
      </c>
      <c r="C56" s="38" t="n">
        <f aca="false">B56/B55 -1</f>
        <v>0.171938361719384</v>
      </c>
    </row>
    <row r="57" customFormat="false" ht="15.75" hidden="false" customHeight="true" outlineLevel="0" collapsed="false">
      <c r="A57" s="36" t="n">
        <v>44074</v>
      </c>
      <c r="B57" s="37" t="n">
        <v>57400000</v>
      </c>
      <c r="C57" s="38" t="n">
        <f aca="false">B57/B56 -1</f>
        <v>-0.00692041522491349</v>
      </c>
    </row>
    <row r="58" customFormat="false" ht="15.75" hidden="false" customHeight="true" outlineLevel="0" collapsed="false">
      <c r="A58" s="36" t="n">
        <v>44104</v>
      </c>
      <c r="B58" s="37" t="n">
        <v>55600000</v>
      </c>
      <c r="C58" s="38" t="n">
        <f aca="false">B58/B57 -1</f>
        <v>-0.0313588850174216</v>
      </c>
    </row>
    <row r="59" customFormat="false" ht="15.75" hidden="false" customHeight="true" outlineLevel="0" collapsed="false">
      <c r="A59" s="41" t="n">
        <v>44134</v>
      </c>
      <c r="B59" s="37" t="n">
        <v>56350000</v>
      </c>
      <c r="C59" s="38" t="n">
        <f aca="false">B59/B58 -1</f>
        <v>0.0134892086330936</v>
      </c>
    </row>
    <row r="60" customFormat="false" ht="15.75" hidden="false" customHeight="true" outlineLevel="0" collapsed="false">
      <c r="A60" s="41" t="n">
        <v>44165</v>
      </c>
      <c r="B60" s="37" t="n">
        <v>53750000</v>
      </c>
      <c r="C60" s="38" t="n">
        <f aca="false">B60/B59 -1</f>
        <v>-0.0461401952085182</v>
      </c>
    </row>
    <row r="61" customFormat="false" ht="15.75" hidden="false" customHeight="true" outlineLevel="0" collapsed="false">
      <c r="A61" s="41" t="n">
        <v>44196</v>
      </c>
      <c r="B61" s="37" t="n">
        <v>56100000</v>
      </c>
      <c r="C61" s="38" t="n">
        <f aca="false">B61/B60 -1</f>
        <v>0.0437209302325581</v>
      </c>
    </row>
    <row r="62" customFormat="false" ht="15.75" hidden="false" customHeight="true" outlineLevel="0" collapsed="false">
      <c r="A62" s="36" t="n">
        <v>44225</v>
      </c>
      <c r="B62" s="37" t="n">
        <v>56750000</v>
      </c>
      <c r="C62" s="38" t="n">
        <f aca="false">B62/B61 -1</f>
        <v>0.0115864527629233</v>
      </c>
    </row>
    <row r="63" customFormat="false" ht="15.75" hidden="false" customHeight="true" outlineLevel="0" collapsed="false">
      <c r="A63" s="36" t="n">
        <v>44253</v>
      </c>
      <c r="B63" s="37" t="n">
        <v>56350000</v>
      </c>
      <c r="C63" s="38" t="n">
        <f aca="false">B63/B62 -1</f>
        <v>-0.00704845814977972</v>
      </c>
    </row>
    <row r="64" customFormat="false" ht="15.75" hidden="false" customHeight="true" outlineLevel="0" collapsed="false">
      <c r="A64" s="36" t="n">
        <v>44286</v>
      </c>
      <c r="B64" s="37" t="n">
        <v>54500000</v>
      </c>
      <c r="C64" s="38" t="n">
        <f aca="false">B64/B63 -1</f>
        <v>-0.0328305235137534</v>
      </c>
    </row>
    <row r="65" customFormat="false" ht="15.75" hidden="false" customHeight="true" outlineLevel="0" collapsed="false">
      <c r="A65" s="36" t="n">
        <v>44315</v>
      </c>
      <c r="B65" s="37" t="n">
        <v>55650000</v>
      </c>
      <c r="C65" s="38" t="n">
        <f aca="false">B65/B64 -1</f>
        <v>0.0211009174311927</v>
      </c>
    </row>
    <row r="66" customFormat="false" ht="15.75" hidden="false" customHeight="true" outlineLevel="0" collapsed="false">
      <c r="A66" s="36" t="n">
        <v>44347</v>
      </c>
      <c r="B66" s="37" t="n">
        <v>57400000</v>
      </c>
      <c r="C66" s="38" t="n">
        <f aca="false">B66/B65 -1</f>
        <v>0.0314465408805031</v>
      </c>
    </row>
    <row r="67" customFormat="false" ht="15.75" hidden="false" customHeight="true" outlineLevel="0" collapsed="false">
      <c r="A67" s="36" t="n">
        <v>44377</v>
      </c>
      <c r="B67" s="37" t="n">
        <v>56850000</v>
      </c>
      <c r="C67" s="38" t="n">
        <f aca="false">B67/B66 -1</f>
        <v>-0.00958188153310102</v>
      </c>
    </row>
    <row r="68" customFormat="false" ht="15.75" hidden="false" customHeight="true" outlineLevel="0" collapsed="false">
      <c r="A68" s="36" t="n">
        <v>44407</v>
      </c>
      <c r="B68" s="37" t="n">
        <v>57400000</v>
      </c>
      <c r="C68" s="38" t="n">
        <f aca="false">B68/B67 -1</f>
        <v>0.00967458223394901</v>
      </c>
    </row>
    <row r="69" customFormat="false" ht="15.75" hidden="false" customHeight="true" outlineLevel="0" collapsed="false">
      <c r="A69" s="36" t="n">
        <v>44439</v>
      </c>
      <c r="B69" s="37" t="n">
        <v>57400000</v>
      </c>
      <c r="C69" s="38" t="n">
        <f aca="false">B69/B68 -1</f>
        <v>0</v>
      </c>
    </row>
    <row r="70" customFormat="false" ht="15.75" hidden="false" customHeight="true" outlineLevel="0" collapsed="false">
      <c r="A70" s="36" t="n">
        <v>44469</v>
      </c>
      <c r="B70" s="37" t="n">
        <v>56850000</v>
      </c>
      <c r="C70" s="38" t="n">
        <f aca="false">B70/B69 -1</f>
        <v>-0.00958188153310102</v>
      </c>
    </row>
    <row r="71" customFormat="false" ht="15.75" hidden="false" customHeight="true" outlineLevel="0" collapsed="false">
      <c r="A71" s="41" t="n">
        <v>44498</v>
      </c>
      <c r="B71" s="37" t="n">
        <v>58500000</v>
      </c>
      <c r="C71" s="38" t="n">
        <f aca="false">B71/B70 -1</f>
        <v>0.029023746701847</v>
      </c>
    </row>
    <row r="72" customFormat="false" ht="15.75" hidden="false" customHeight="true" outlineLevel="0" collapsed="false">
      <c r="A72" s="41" t="n">
        <v>44530</v>
      </c>
      <c r="B72" s="37" t="n">
        <v>60700000</v>
      </c>
      <c r="C72" s="38" t="n">
        <f aca="false">B72/B71 -1</f>
        <v>0.0376068376068377</v>
      </c>
    </row>
    <row r="73" customFormat="false" ht="15.75" hidden="false" customHeight="true" outlineLevel="0" collapsed="false">
      <c r="A73" s="41" t="n">
        <v>44561</v>
      </c>
      <c r="B73" s="37" t="n">
        <v>61650000</v>
      </c>
      <c r="C73" s="38" t="n">
        <f aca="false">B73/B72 -1</f>
        <v>0.0156507413509062</v>
      </c>
    </row>
    <row r="74" customFormat="false" ht="15.75" hidden="false" customHeight="true" outlineLevel="0" collapsed="false">
      <c r="A74" s="36" t="n">
        <v>44589</v>
      </c>
      <c r="B74" s="37" t="n">
        <v>62500000</v>
      </c>
      <c r="C74" s="38" t="n">
        <f aca="false">B74/B73 -1</f>
        <v>0.013787510137875</v>
      </c>
    </row>
    <row r="75" customFormat="false" ht="15.75" hidden="false" customHeight="true" outlineLevel="0" collapsed="false">
      <c r="A75" s="36" t="n">
        <v>44620</v>
      </c>
      <c r="B75" s="37" t="n">
        <v>65950000</v>
      </c>
      <c r="C75" s="38" t="n">
        <f aca="false">B75/B74 -1</f>
        <v>0.0551999999999999</v>
      </c>
    </row>
    <row r="76" customFormat="false" ht="15.75" hidden="false" customHeight="true" outlineLevel="0" collapsed="false">
      <c r="A76" s="36" t="n">
        <v>44651</v>
      </c>
      <c r="B76" s="37" t="n">
        <v>68850000</v>
      </c>
      <c r="C76" s="38" t="n">
        <f aca="false">B76/B75 -1</f>
        <v>0.0439727065959059</v>
      </c>
    </row>
    <row r="77" customFormat="false" ht="15.75" hidden="false" customHeight="true" outlineLevel="0" collapsed="false">
      <c r="A77" s="36" t="n">
        <v>44680</v>
      </c>
      <c r="B77" s="37" t="n">
        <v>70350000</v>
      </c>
      <c r="C77" s="38" t="n">
        <f aca="false">B77/B76 -1</f>
        <v>0.0217864923747277</v>
      </c>
    </row>
    <row r="78" customFormat="false" ht="15.75" hidden="false" customHeight="true" outlineLevel="0" collapsed="false">
      <c r="A78" s="36" t="n">
        <v>44712</v>
      </c>
      <c r="B78" s="37" t="n">
        <v>69500000</v>
      </c>
      <c r="C78" s="38" t="n">
        <f aca="false">B78/B77 -1</f>
        <v>-0.0120824449182658</v>
      </c>
    </row>
    <row r="79" customFormat="false" ht="15.75" hidden="false" customHeight="true" outlineLevel="0" collapsed="false">
      <c r="A79" s="36" t="n">
        <v>44742</v>
      </c>
      <c r="B79" s="37" t="n">
        <v>68900000</v>
      </c>
      <c r="C79" s="38" t="n">
        <f aca="false">B79/B78 -1</f>
        <v>-0.00863309352517983</v>
      </c>
    </row>
    <row r="80" customFormat="false" ht="15.75" hidden="false" customHeight="true" outlineLevel="0" collapsed="false">
      <c r="A80" s="36" t="n">
        <v>44771</v>
      </c>
      <c r="B80" s="37" t="n">
        <v>66700000</v>
      </c>
      <c r="C80" s="38" t="n">
        <f aca="false">B80/B79 -1</f>
        <v>-0.0319303338171263</v>
      </c>
    </row>
    <row r="81" customFormat="false" ht="15.75" hidden="false" customHeight="true" outlineLevel="0" collapsed="false">
      <c r="A81" s="36" t="n">
        <v>44804</v>
      </c>
      <c r="B81" s="37" t="n">
        <v>66600000</v>
      </c>
      <c r="C81" s="38" t="n">
        <f aca="false">B81/B80 -1</f>
        <v>-0.00149925037481258</v>
      </c>
    </row>
    <row r="82" customFormat="false" ht="15.75" hidden="false" customHeight="true" outlineLevel="0" collapsed="false">
      <c r="A82" s="36" t="n">
        <v>44834</v>
      </c>
      <c r="B82" s="37" t="n">
        <v>66400000</v>
      </c>
      <c r="C82" s="38" t="n">
        <f aca="false">B82/B81 -1</f>
        <v>-0.00300300300300305</v>
      </c>
    </row>
    <row r="83" customFormat="false" ht="15.75" hidden="false" customHeight="true" outlineLevel="0" collapsed="false">
      <c r="A83" s="41" t="n">
        <v>44865</v>
      </c>
      <c r="B83" s="37" t="n">
        <v>67000000</v>
      </c>
      <c r="C83" s="38" t="n">
        <f aca="false">B83/B82 -1</f>
        <v>0.00903614457831314</v>
      </c>
    </row>
    <row r="84" customFormat="false" ht="15.75" hidden="false" customHeight="true" outlineLevel="0" collapsed="false">
      <c r="A84" s="41" t="n">
        <v>44895</v>
      </c>
      <c r="B84" s="37" t="n">
        <v>67300000</v>
      </c>
      <c r="C84" s="38" t="n">
        <f aca="false">B84/B83 -1</f>
        <v>0.0044776119402985</v>
      </c>
    </row>
    <row r="85" customFormat="false" ht="15.75" hidden="false" customHeight="true" outlineLevel="0" collapsed="false">
      <c r="A85" s="41" t="n">
        <v>44925</v>
      </c>
      <c r="B85" s="37" t="n">
        <v>66700000</v>
      </c>
      <c r="C85" s="38" t="n">
        <f aca="false">B85/B84 -1</f>
        <v>-0.00891530460624068</v>
      </c>
    </row>
    <row r="86" customFormat="false" ht="15.75" hidden="false" customHeight="true" outlineLevel="0" collapsed="false">
      <c r="A86" s="36" t="n">
        <v>44957</v>
      </c>
      <c r="B86" s="37" t="n">
        <v>67600000</v>
      </c>
      <c r="C86" s="38" t="n">
        <f aca="false">B86/B85 -1</f>
        <v>0.0134932533733134</v>
      </c>
    </row>
    <row r="87" customFormat="false" ht="15.75" hidden="false" customHeight="true" outlineLevel="0" collapsed="false">
      <c r="A87" s="36" t="n">
        <v>44985</v>
      </c>
      <c r="B87" s="37" t="n">
        <v>66850000</v>
      </c>
      <c r="C87" s="38" t="n">
        <f aca="false">B87/B86 -1</f>
        <v>-0.011094674556213</v>
      </c>
    </row>
    <row r="88" customFormat="false" ht="15.75" hidden="false" customHeight="true" outlineLevel="0" collapsed="false">
      <c r="A88" s="36" t="n">
        <v>45016</v>
      </c>
      <c r="B88" s="37" t="n">
        <v>67050000</v>
      </c>
      <c r="C88" s="38" t="n">
        <f aca="false">B88/B87 -1</f>
        <v>0.00299177262528039</v>
      </c>
    </row>
    <row r="89" customFormat="false" ht="15.75" hidden="false" customHeight="true" outlineLevel="0" collapsed="false">
      <c r="A89" s="36" t="n">
        <v>45044</v>
      </c>
      <c r="B89" s="37" t="n">
        <v>67200000</v>
      </c>
      <c r="C89" s="38" t="n">
        <f aca="false">B89/B88 -1</f>
        <v>0.00223713646532442</v>
      </c>
    </row>
    <row r="90" customFormat="false" ht="15.75" hidden="false" customHeight="true" outlineLevel="0" collapsed="false">
      <c r="A90" s="36" t="n">
        <v>45077</v>
      </c>
      <c r="B90" s="37" t="n">
        <v>67050000</v>
      </c>
      <c r="C90" s="38" t="n">
        <f aca="false">B90/B89 -1</f>
        <v>-0.0022321428571429</v>
      </c>
    </row>
    <row r="91" customFormat="false" ht="15.75" hidden="false" customHeight="true" outlineLevel="0" collapsed="false">
      <c r="A91" s="36" t="n">
        <v>45107</v>
      </c>
      <c r="B91" s="37" t="n">
        <v>66950000</v>
      </c>
      <c r="C91" s="38" t="n">
        <f aca="false">B91/B90 -1</f>
        <v>-0.00149142431021621</v>
      </c>
    </row>
    <row r="92" customFormat="false" ht="15.75" hidden="false" customHeight="true" outlineLevel="0" collapsed="false">
      <c r="A92" s="36" t="n">
        <v>45138</v>
      </c>
      <c r="B92" s="37" t="n">
        <v>67250000</v>
      </c>
      <c r="C92" s="38" t="n">
        <f aca="false">B92/B91 -1</f>
        <v>0.00448095593726672</v>
      </c>
    </row>
    <row r="93" customFormat="false" ht="15.75" hidden="false" customHeight="true" outlineLevel="0" collapsed="false">
      <c r="A93" s="36" t="n">
        <v>45169</v>
      </c>
      <c r="B93" s="37" t="n">
        <v>68250000</v>
      </c>
      <c r="C93" s="38" t="n">
        <f aca="false">B93/B92 -1</f>
        <v>0.0148698884758365</v>
      </c>
    </row>
    <row r="94" customFormat="false" ht="15.75" hidden="false" customHeight="true" outlineLevel="0" collapsed="false">
      <c r="A94" s="36" t="n">
        <v>45198</v>
      </c>
      <c r="B94" s="37" t="n">
        <v>68900000</v>
      </c>
      <c r="C94" s="38" t="n">
        <f aca="false">B94/B93 -1</f>
        <v>0.00952380952380949</v>
      </c>
    </row>
    <row r="95" customFormat="false" ht="15.75" hidden="false" customHeight="true" outlineLevel="0" collapsed="false">
      <c r="A95" s="41" t="n">
        <v>45230</v>
      </c>
      <c r="B95" s="37" t="n">
        <v>70800000</v>
      </c>
      <c r="C95" s="38" t="n">
        <f aca="false">B95/B94 -1</f>
        <v>0.0275761973875182</v>
      </c>
    </row>
    <row r="96" customFormat="false" ht="15.75" hidden="false" customHeight="true" outlineLevel="0" collapsed="false">
      <c r="A96" s="41" t="n">
        <v>45260</v>
      </c>
      <c r="B96" s="37" t="n">
        <v>73600000</v>
      </c>
      <c r="C96" s="38" t="n">
        <f aca="false">B96/B95 -1</f>
        <v>0.03954802259887</v>
      </c>
    </row>
    <row r="97" customFormat="false" ht="15.75" hidden="false" customHeight="true" outlineLevel="0" collapsed="false">
      <c r="A97" s="41" t="n">
        <v>45289</v>
      </c>
      <c r="B97" s="37" t="n">
        <v>76000000</v>
      </c>
      <c r="C97" s="38" t="n">
        <f aca="false">B97/B96 -1</f>
        <v>0.0326086956521738</v>
      </c>
    </row>
    <row r="98" customFormat="false" ht="15.75" hidden="false" customHeight="true" outlineLevel="0" collapsed="false">
      <c r="A98" s="36" t="n">
        <v>45322</v>
      </c>
      <c r="B98" s="37" t="n">
        <v>77900000</v>
      </c>
      <c r="C98" s="38" t="n">
        <f aca="false">B98/B97 -1</f>
        <v>0.0249999999999999</v>
      </c>
    </row>
    <row r="99" customFormat="false" ht="15.75" hidden="false" customHeight="true" outlineLevel="0" collapsed="false">
      <c r="A99" s="36" t="n">
        <v>45351</v>
      </c>
      <c r="B99" s="37" t="n">
        <v>79500000</v>
      </c>
      <c r="C99" s="38" t="n">
        <f aca="false">B99/B98 -1</f>
        <v>0.0205391527599486</v>
      </c>
    </row>
    <row r="100" customFormat="false" ht="15.75" hidden="false" customHeight="true" outlineLevel="0" collapsed="false">
      <c r="A100" s="36" t="n">
        <v>45380</v>
      </c>
      <c r="B100" s="37" t="n">
        <v>81000000</v>
      </c>
      <c r="C100" s="38" t="n">
        <f aca="false">B100/B99 -1</f>
        <v>0.0188679245283019</v>
      </c>
    </row>
    <row r="101" customFormat="false" ht="15.75" hidden="false" customHeight="true" outlineLevel="0" collapsed="false">
      <c r="A101" s="36" t="n">
        <v>45408</v>
      </c>
      <c r="B101" s="37" t="n">
        <v>85200000</v>
      </c>
      <c r="C101" s="38" t="n">
        <f aca="false">B101/B100 -1</f>
        <v>0.0518518518518518</v>
      </c>
    </row>
    <row r="102" customFormat="false" ht="15.75" hidden="false" customHeight="true" outlineLevel="0" collapsed="false">
      <c r="A102" s="36" t="n">
        <v>45443</v>
      </c>
      <c r="B102" s="37" t="n">
        <v>87000000</v>
      </c>
      <c r="C102" s="38" t="n">
        <f aca="false">B102/B101 -1</f>
        <v>0.0211267605633803</v>
      </c>
    </row>
    <row r="103" customFormat="false" ht="15.75" hidden="false" customHeight="true" outlineLevel="0" collapsed="false">
      <c r="A103" s="36" t="n">
        <v>45471</v>
      </c>
      <c r="B103" s="37" t="n">
        <v>76980000</v>
      </c>
      <c r="C103" s="38" t="n">
        <f aca="false">B103/B102 -1</f>
        <v>-0.115172413793104</v>
      </c>
    </row>
    <row r="104" customFormat="false" ht="15.75" hidden="false" customHeight="true" outlineLevel="0" collapsed="false">
      <c r="A104" s="36" t="n">
        <v>45504</v>
      </c>
      <c r="B104" s="37" t="n">
        <v>79000000</v>
      </c>
      <c r="C104" s="38" t="n">
        <f aca="false">B104/B103 -1</f>
        <v>0.0262405819693428</v>
      </c>
    </row>
    <row r="105" customFormat="false" ht="15.75" hidden="false" customHeight="true" outlineLevel="0" collapsed="false">
      <c r="A105" s="36" t="n">
        <v>45534</v>
      </c>
      <c r="B105" s="37" t="n">
        <v>81000000</v>
      </c>
      <c r="C105" s="38" t="n">
        <f aca="false">B105/B104 -1</f>
        <v>0.0253164556962024</v>
      </c>
    </row>
    <row r="106" customFormat="false" ht="15.75" hidden="false" customHeight="true" outlineLevel="0" collapsed="false">
      <c r="A106" s="36" t="n">
        <v>45565</v>
      </c>
      <c r="B106" s="37" t="n">
        <v>83500000</v>
      </c>
      <c r="C106" s="38" t="n">
        <f aca="false">B106/B105 -1</f>
        <v>0.0308641975308641</v>
      </c>
    </row>
    <row r="107" customFormat="false" ht="15.75" hidden="false" customHeight="true" outlineLevel="0" collapsed="false">
      <c r="A107" s="41" t="n">
        <v>45596</v>
      </c>
      <c r="B107" s="37" t="n">
        <v>90000000</v>
      </c>
      <c r="C107" s="38" t="n">
        <f aca="false">B107/B106 -1</f>
        <v>0.0778443113772456</v>
      </c>
    </row>
    <row r="108" customFormat="false" ht="15.75" hidden="false" customHeight="true" outlineLevel="0" collapsed="false">
      <c r="A108" s="41" t="n">
        <v>45625</v>
      </c>
      <c r="B108" s="37" t="n">
        <v>85800000</v>
      </c>
      <c r="C108" s="38" t="n">
        <f aca="false">B108/B107 -1</f>
        <v>-0.0466666666666666</v>
      </c>
    </row>
    <row r="109" customFormat="false" ht="15.75" hidden="false" customHeight="true" outlineLevel="0" collapsed="false">
      <c r="A109" s="41" t="n">
        <v>45657</v>
      </c>
      <c r="B109" s="37" t="n">
        <v>84200000</v>
      </c>
      <c r="C109" s="38" t="n">
        <f aca="false">B109/B108 -1</f>
        <v>-0.0186480186480187</v>
      </c>
    </row>
    <row r="110" customFormat="false" ht="15.75" hidden="false" customHeight="true" outlineLevel="0" collapsed="false">
      <c r="A110" s="36" t="n">
        <v>45681</v>
      </c>
      <c r="B110" s="37" t="n">
        <v>88800000</v>
      </c>
      <c r="C110" s="38" t="n">
        <f aca="false">B110/B109 -1</f>
        <v>0.0546318289786223</v>
      </c>
    </row>
    <row r="111" customFormat="false" ht="15.75" hidden="false" customHeight="true" outlineLevel="0" collapsed="false">
      <c r="A111" s="36" t="n">
        <v>45716</v>
      </c>
      <c r="B111" s="37" t="n">
        <v>90500000</v>
      </c>
      <c r="C111" s="38" t="n">
        <f aca="false">B111/B110 -1</f>
        <v>0.0191441441441442</v>
      </c>
    </row>
    <row r="112" customFormat="false" ht="15.75" hidden="false" customHeight="true" outlineLevel="0" collapsed="false">
      <c r="A112" s="36" t="n">
        <v>45747</v>
      </c>
      <c r="B112" s="37" t="n">
        <v>101800000</v>
      </c>
      <c r="C112" s="38" t="n">
        <f aca="false">B112/B111 -1</f>
        <v>0.124861878453039</v>
      </c>
    </row>
    <row r="113" customFormat="false" ht="15.75" hidden="false" customHeight="true" outlineLevel="0" collapsed="false">
      <c r="A113" s="36" t="n">
        <v>45776</v>
      </c>
      <c r="B113" s="37" t="n">
        <v>121300000</v>
      </c>
      <c r="C113" s="38" t="n">
        <f aca="false">B113/B112 -1</f>
        <v>0.191552062868369</v>
      </c>
    </row>
    <row r="114" customFormat="false" ht="15.75" hidden="false" customHeight="true" outlineLevel="0" collapsed="false">
      <c r="A114" s="36" t="n">
        <v>45807</v>
      </c>
      <c r="B114" s="37" t="n">
        <v>118500000</v>
      </c>
      <c r="C114" s="38" t="n">
        <f aca="false">B114/B113 -1</f>
        <v>-0.0230832646331409</v>
      </c>
    </row>
    <row r="115" customFormat="false" ht="15.75" hidden="false" customHeight="true" outlineLevel="0" collapsed="false">
      <c r="A115" s="36" t="n">
        <v>45838</v>
      </c>
      <c r="B115" s="37" t="n">
        <v>119500000</v>
      </c>
      <c r="C115" s="38" t="n">
        <f aca="false">B115/B114 -1</f>
        <v>0.00843881856540074</v>
      </c>
    </row>
    <row r="116" customFormat="false" ht="15.75" hidden="false" customHeight="true" outlineLevel="0" collapsed="false">
      <c r="A116" s="36" t="n">
        <v>45869</v>
      </c>
      <c r="B116" s="37" t="n">
        <v>121400000</v>
      </c>
      <c r="C116" s="38" t="n">
        <f aca="false">B116/B115 -1</f>
        <v>0.0158995815899581</v>
      </c>
    </row>
    <row r="117" customFormat="false" ht="15.75" hidden="false" customHeight="true" outlineLevel="0" collapsed="false">
      <c r="A117" s="36" t="n">
        <v>45898</v>
      </c>
      <c r="B117" s="37" t="n">
        <v>129300000</v>
      </c>
      <c r="C117" s="38" t="n">
        <f aca="false">B117/B116 -1</f>
        <v>0.0650741350906097</v>
      </c>
    </row>
    <row r="118" customFormat="false" ht="15.75" hidden="false" customHeight="true" outlineLevel="0" collapsed="false">
      <c r="A118" s="36" t="n">
        <v>45930</v>
      </c>
      <c r="B118" s="37" t="n">
        <v>136800000</v>
      </c>
      <c r="C118" s="38" t="n">
        <f aca="false">B118/B117 -1</f>
        <v>0.0580046403712298</v>
      </c>
    </row>
    <row r="119" customFormat="false" ht="15.75" hidden="false" customHeight="true" outlineLevel="0" collapsed="false">
      <c r="A119" s="41" t="n">
        <v>45961</v>
      </c>
      <c r="B119" s="37" t="n">
        <v>148400000</v>
      </c>
      <c r="C119" s="38" t="n">
        <f aca="false">B119/B118 -1</f>
        <v>0.0847953216374269</v>
      </c>
    </row>
    <row r="120" customFormat="false" ht="15.75" hidden="false" customHeight="true" outlineLevel="0" collapsed="false">
      <c r="A120" s="41" t="n">
        <v>45989</v>
      </c>
      <c r="B120" s="37" t="n">
        <v>154200000</v>
      </c>
      <c r="C120" s="38" t="n">
        <f aca="false">B120/B119 -1</f>
        <v>0.0390835579514826</v>
      </c>
    </row>
    <row r="121" customFormat="false" ht="15.75" hidden="false" customHeight="true" outlineLevel="0" collapsed="false">
      <c r="A121" s="41" t="n">
        <v>46022</v>
      </c>
      <c r="B121" s="37" t="n">
        <v>152800000</v>
      </c>
      <c r="C121" s="38" t="n">
        <f aca="false">B121/B120 -1</f>
        <v>-0.00907911802853434</v>
      </c>
    </row>
    <row r="122" customFormat="false" ht="15.75" hidden="false" customHeight="true" outlineLevel="0" collapsed="false">
      <c r="A122" s="36" t="n">
        <v>46052</v>
      </c>
      <c r="B122" s="37" t="n">
        <v>181000000</v>
      </c>
      <c r="C122" s="38" t="n">
        <f aca="false">B122/B121 -1</f>
        <v>0.18455497382199</v>
      </c>
    </row>
    <row r="123" customFormat="false" ht="15.75" hidden="false" customHeight="true" outlineLevel="0" collapsed="false">
      <c r="A123" s="36" t="n">
        <v>46080</v>
      </c>
      <c r="B123" s="37" t="n">
        <v>184000000</v>
      </c>
      <c r="C123" s="38" t="n">
        <f aca="false">B123/B122 -1</f>
        <v>0.0165745856353592</v>
      </c>
    </row>
    <row r="124" customFormat="false" ht="15.75" hidden="false" customHeight="true" outlineLevel="0" collapsed="false">
      <c r="A124" s="36" t="n">
        <v>46112</v>
      </c>
      <c r="B124" s="37" t="n">
        <v>176000000</v>
      </c>
      <c r="C124" s="38" t="n">
        <f aca="false">B124/B123 -1</f>
        <v>-0.0434782608695652</v>
      </c>
    </row>
    <row r="125" customFormat="false" ht="15.75" hidden="false" customHeight="true" outlineLevel="0" collapsed="false">
      <c r="A125" s="36" t="n">
        <v>46142</v>
      </c>
      <c r="B125" s="37" t="n">
        <v>166000000</v>
      </c>
      <c r="C125" s="38" t="n">
        <f aca="false">B125/B124 -1</f>
        <v>-0.0568181818181818</v>
      </c>
    </row>
    <row r="126" customFormat="false" ht="15.75" hidden="false" customHeight="true" outlineLevel="0" collapsed="false">
      <c r="A126" s="36" t="n">
        <v>46171</v>
      </c>
      <c r="B126" s="37" t="n">
        <v>160000000</v>
      </c>
      <c r="C126" s="38" t="n">
        <f aca="false">B126/B125 -1</f>
        <v>-0.036144578313253</v>
      </c>
    </row>
    <row r="127" customFormat="false" ht="15.75" hidden="false" customHeight="true" outlineLevel="0" collapsed="false">
      <c r="A127" s="36" t="n">
        <v>46203</v>
      </c>
      <c r="B127" s="37" t="n">
        <v>146000000</v>
      </c>
      <c r="C127" s="38" t="n">
        <f aca="false">B127/B126 -1</f>
        <v>-0.0875</v>
      </c>
    </row>
    <row r="128" customFormat="false" ht="15.75" hidden="false" customHeight="true" outlineLevel="0" collapsed="false">
      <c r="A128" s="36" t="n">
        <v>46234</v>
      </c>
      <c r="B128" s="37" t="n">
        <v>141700000</v>
      </c>
      <c r="C128" s="38" t="n">
        <f aca="false">B128/B127 -1</f>
        <v>-0.0294520547945205</v>
      </c>
    </row>
    <row r="129" customFormat="false" ht="15.75" hidden="false" customHeight="true" outlineLevel="0" collapsed="false">
      <c r="A129" s="36" t="n">
        <v>46265</v>
      </c>
      <c r="B129" s="37" t="n">
        <v>148700000</v>
      </c>
      <c r="C129" s="38" t="n">
        <f aca="false">B129/B128 -1</f>
        <v>0.0494001411432603</v>
      </c>
    </row>
    <row r="130" customFormat="false" ht="15.75" hidden="false" customHeight="true" outlineLevel="0" collapsed="false">
      <c r="A130" s="36" t="n">
        <v>46290</v>
      </c>
      <c r="B130" s="37" t="n">
        <v>144400000</v>
      </c>
      <c r="C130" s="38" t="n">
        <f aca="false">B130/B129 -1</f>
        <v>-0.0289172831203766</v>
      </c>
    </row>
    <row r="131" customFormat="false" ht="15.75" hidden="false" customHeight="true" outlineLevel="0" collapsed="false">
      <c r="A131" s="41"/>
      <c r="B131" s="43"/>
    </row>
    <row r="132" customFormat="false" ht="15.75" hidden="false" customHeight="true" outlineLevel="0" collapsed="false">
      <c r="A132" s="41"/>
      <c r="B132" s="43"/>
    </row>
    <row r="133" customFormat="false" ht="15.75" hidden="false" customHeight="true" outlineLevel="0" collapsed="false">
      <c r="A133" s="41"/>
      <c r="B133" s="43"/>
    </row>
    <row r="134" customFormat="false" ht="15.75" hidden="false" customHeight="true" outlineLevel="0" collapsed="false">
      <c r="A134" s="36"/>
      <c r="B134" s="43"/>
    </row>
    <row r="135" customFormat="false" ht="15.75" hidden="false" customHeight="true" outlineLevel="0" collapsed="false">
      <c r="A135" s="36"/>
      <c r="B135" s="43"/>
    </row>
    <row r="136" customFormat="false" ht="15.75" hidden="false" customHeight="true" outlineLevel="0" collapsed="false">
      <c r="A136" s="36"/>
      <c r="B136" s="43"/>
    </row>
    <row r="137" customFormat="false" ht="15.75" hidden="false" customHeight="true" outlineLevel="0" collapsed="false">
      <c r="A137" s="36"/>
      <c r="B137" s="43"/>
    </row>
    <row r="138" customFormat="false" ht="15.75" hidden="false" customHeight="true" outlineLevel="0" collapsed="false">
      <c r="A138" s="36"/>
      <c r="B138" s="43"/>
    </row>
    <row r="139" customFormat="false" ht="15.75" hidden="false" customHeight="true" outlineLevel="0" collapsed="false">
      <c r="A139" s="36"/>
      <c r="B139" s="43"/>
    </row>
    <row r="140" customFormat="false" ht="15.75" hidden="false" customHeight="true" outlineLevel="0" collapsed="false">
      <c r="A140" s="36"/>
      <c r="B140" s="43"/>
    </row>
    <row r="141" customFormat="false" ht="15.75" hidden="false" customHeight="true" outlineLevel="0" collapsed="false">
      <c r="A141" s="36"/>
      <c r="B141" s="43"/>
    </row>
    <row r="142" customFormat="false" ht="15.75" hidden="false" customHeight="true" outlineLevel="0" collapsed="false">
      <c r="A142" s="36"/>
      <c r="B142" s="43"/>
    </row>
    <row r="143" customFormat="false" ht="15.75" hidden="false" customHeight="true" outlineLevel="0" collapsed="false">
      <c r="A143" s="41"/>
      <c r="B143" s="43"/>
    </row>
    <row r="144" customFormat="false" ht="15.75" hidden="false" customHeight="true" outlineLevel="0" collapsed="false">
      <c r="A144" s="41"/>
      <c r="B144" s="43"/>
    </row>
    <row r="145" customFormat="false" ht="15.75" hidden="false" customHeight="true" outlineLevel="0" collapsed="false">
      <c r="A145" s="41"/>
      <c r="B145" s="43"/>
    </row>
    <row r="146" customFormat="false" ht="15.75" hidden="false" customHeight="true" outlineLevel="0" collapsed="false">
      <c r="A146" s="36"/>
      <c r="B146" s="43"/>
    </row>
    <row r="147" customFormat="false" ht="15.75" hidden="false" customHeight="true" outlineLevel="0" collapsed="false">
      <c r="A147" s="36"/>
      <c r="B147" s="43"/>
    </row>
    <row r="148" customFormat="false" ht="15.75" hidden="false" customHeight="true" outlineLevel="0" collapsed="false">
      <c r="A148" s="36"/>
      <c r="B148" s="43"/>
    </row>
    <row r="149" customFormat="false" ht="15.75" hidden="false" customHeight="true" outlineLevel="0" collapsed="false">
      <c r="A149" s="36"/>
      <c r="B149" s="43"/>
    </row>
    <row r="150" customFormat="false" ht="15.75" hidden="false" customHeight="true" outlineLevel="0" collapsed="false">
      <c r="A150" s="36"/>
      <c r="B150" s="43"/>
    </row>
    <row r="151" customFormat="false" ht="15.75" hidden="false" customHeight="true" outlineLevel="0" collapsed="false">
      <c r="A151" s="36"/>
      <c r="B151" s="43"/>
    </row>
    <row r="152" customFormat="false" ht="15.75" hidden="false" customHeight="true" outlineLevel="0" collapsed="false">
      <c r="A152" s="36"/>
      <c r="B152" s="43"/>
    </row>
    <row r="153" customFormat="false" ht="15.75" hidden="false" customHeight="true" outlineLevel="0" collapsed="false">
      <c r="A153" s="36"/>
      <c r="B153" s="43"/>
    </row>
    <row r="154" customFormat="false" ht="15.75" hidden="false" customHeight="true" outlineLevel="0" collapsed="false">
      <c r="A154" s="36"/>
      <c r="B154" s="43"/>
    </row>
    <row r="155" customFormat="false" ht="15.75" hidden="false" customHeight="true" outlineLevel="0" collapsed="false">
      <c r="A155" s="41"/>
      <c r="B155" s="43"/>
    </row>
    <row r="156" customFormat="false" ht="15.75" hidden="false" customHeight="true" outlineLevel="0" collapsed="false">
      <c r="A156" s="41"/>
      <c r="B156" s="43"/>
    </row>
    <row r="157" customFormat="false" ht="15.75" hidden="false" customHeight="true" outlineLevel="0" collapsed="false">
      <c r="A157" s="41"/>
      <c r="B157" s="43"/>
    </row>
    <row r="158" customFormat="false" ht="15.75" hidden="false" customHeight="true" outlineLevel="0" collapsed="false">
      <c r="A158" s="36"/>
      <c r="B158" s="43"/>
    </row>
    <row r="159" customFormat="false" ht="15.75" hidden="false" customHeight="true" outlineLevel="0" collapsed="false">
      <c r="A159" s="36"/>
      <c r="B159" s="43"/>
    </row>
    <row r="160" customFormat="false" ht="15.75" hidden="false" customHeight="true" outlineLevel="0" collapsed="false">
      <c r="A160" s="36"/>
      <c r="B160" s="43"/>
    </row>
    <row r="161" customFormat="false" ht="15.75" hidden="false" customHeight="true" outlineLevel="0" collapsed="false">
      <c r="A161" s="36"/>
      <c r="B161" s="43"/>
    </row>
    <row r="162" customFormat="false" ht="15.75" hidden="false" customHeight="true" outlineLevel="0" collapsed="false">
      <c r="A162" s="36"/>
      <c r="B162" s="43"/>
    </row>
    <row r="163" customFormat="false" ht="15.75" hidden="false" customHeight="true" outlineLevel="0" collapsed="false">
      <c r="A163" s="36"/>
      <c r="B163" s="43"/>
    </row>
    <row r="164" customFormat="false" ht="15.75" hidden="false" customHeight="true" outlineLevel="0" collapsed="false">
      <c r="A164" s="36"/>
      <c r="B164" s="43"/>
    </row>
    <row r="165" customFormat="false" ht="15.75" hidden="false" customHeight="true" outlineLevel="0" collapsed="false">
      <c r="A165" s="36"/>
      <c r="B165" s="43"/>
    </row>
    <row r="166" customFormat="false" ht="15.75" hidden="false" customHeight="true" outlineLevel="0" collapsed="false">
      <c r="A166" s="36"/>
      <c r="B166" s="43"/>
    </row>
    <row r="167" customFormat="false" ht="15.75" hidden="false" customHeight="true" outlineLevel="0" collapsed="false">
      <c r="A167" s="41"/>
      <c r="B167" s="43"/>
    </row>
    <row r="168" customFormat="false" ht="15.75" hidden="false" customHeight="true" outlineLevel="0" collapsed="false">
      <c r="A168" s="41"/>
      <c r="B168" s="43"/>
    </row>
    <row r="169" customFormat="false" ht="15.75" hidden="false" customHeight="true" outlineLevel="0" collapsed="false">
      <c r="A169" s="41"/>
      <c r="B169" s="43"/>
    </row>
    <row r="170" customFormat="false" ht="15.75" hidden="false" customHeight="true" outlineLevel="0" collapsed="false">
      <c r="A170" s="36"/>
      <c r="B170" s="43"/>
    </row>
    <row r="171" customFormat="false" ht="15.75" hidden="false" customHeight="true" outlineLevel="0" collapsed="false">
      <c r="A171" s="36"/>
      <c r="B171" s="43"/>
    </row>
    <row r="172" customFormat="false" ht="15.75" hidden="false" customHeight="true" outlineLevel="0" collapsed="false">
      <c r="A172" s="36"/>
      <c r="B172" s="43"/>
    </row>
    <row r="173" customFormat="false" ht="15.75" hidden="false" customHeight="true" outlineLevel="0" collapsed="false">
      <c r="A173" s="36"/>
      <c r="B173" s="43"/>
    </row>
    <row r="174" customFormat="false" ht="15.75" hidden="false" customHeight="true" outlineLevel="0" collapsed="false">
      <c r="A174" s="36"/>
      <c r="B174" s="43"/>
    </row>
    <row r="175" customFormat="false" ht="15.75" hidden="false" customHeight="true" outlineLevel="0" collapsed="false">
      <c r="A175" s="36"/>
      <c r="B175" s="43"/>
    </row>
    <row r="176" customFormat="false" ht="15.75" hidden="false" customHeight="true" outlineLevel="0" collapsed="false">
      <c r="A176" s="36"/>
      <c r="B176" s="43"/>
    </row>
    <row r="177" customFormat="false" ht="15.75" hidden="false" customHeight="true" outlineLevel="0" collapsed="false">
      <c r="A177" s="36"/>
      <c r="B177" s="43"/>
    </row>
    <row r="178" customFormat="false" ht="15.75" hidden="false" customHeight="true" outlineLevel="0" collapsed="false">
      <c r="A178" s="36"/>
      <c r="B178" s="43"/>
    </row>
    <row r="179" customFormat="false" ht="15.75" hidden="false" customHeight="true" outlineLevel="0" collapsed="false">
      <c r="A179" s="41"/>
      <c r="B179" s="43"/>
    </row>
    <row r="180" customFormat="false" ht="15.75" hidden="false" customHeight="true" outlineLevel="0" collapsed="false">
      <c r="A180" s="41"/>
      <c r="B180" s="43"/>
    </row>
    <row r="181" customFormat="false" ht="15.75" hidden="false" customHeight="true" outlineLevel="0" collapsed="false">
      <c r="A181" s="41"/>
      <c r="B181" s="43"/>
    </row>
    <row r="182" customFormat="false" ht="15.75" hidden="false" customHeight="true" outlineLevel="0" collapsed="false">
      <c r="A182" s="36"/>
      <c r="B182" s="43"/>
    </row>
    <row r="183" customFormat="false" ht="15.75" hidden="false" customHeight="true" outlineLevel="0" collapsed="false">
      <c r="A183" s="36"/>
      <c r="B183" s="43"/>
    </row>
    <row r="184" customFormat="false" ht="15.75" hidden="false" customHeight="true" outlineLevel="0" collapsed="false">
      <c r="A184" s="36"/>
      <c r="B184" s="43"/>
    </row>
    <row r="185" customFormat="false" ht="15.75" hidden="false" customHeight="true" outlineLevel="0" collapsed="false">
      <c r="A185" s="36"/>
      <c r="B185" s="43"/>
    </row>
    <row r="186" customFormat="false" ht="15.75" hidden="false" customHeight="true" outlineLevel="0" collapsed="false">
      <c r="A186" s="36"/>
      <c r="B186" s="43"/>
    </row>
    <row r="187" customFormat="false" ht="15.75" hidden="false" customHeight="true" outlineLevel="0" collapsed="false">
      <c r="A187" s="36"/>
      <c r="B187" s="43"/>
    </row>
    <row r="188" customFormat="false" ht="15.75" hidden="false" customHeight="true" outlineLevel="0" collapsed="false">
      <c r="A188" s="36"/>
      <c r="B188" s="43"/>
    </row>
    <row r="189" customFormat="false" ht="15.75" hidden="false" customHeight="true" outlineLevel="0" collapsed="false">
      <c r="A189" s="36"/>
      <c r="B189" s="43"/>
    </row>
    <row r="190" customFormat="false" ht="15.75" hidden="false" customHeight="true" outlineLevel="0" collapsed="false">
      <c r="A190" s="36"/>
      <c r="B190" s="43"/>
    </row>
    <row r="191" customFormat="false" ht="15.75" hidden="false" customHeight="true" outlineLevel="0" collapsed="false">
      <c r="A191" s="41"/>
      <c r="B191" s="43"/>
    </row>
    <row r="192" customFormat="false" ht="15.75" hidden="false" customHeight="true" outlineLevel="0" collapsed="false">
      <c r="A192" s="41"/>
      <c r="B192" s="43"/>
    </row>
    <row r="193" customFormat="false" ht="15.75" hidden="false" customHeight="true" outlineLevel="0" collapsed="false">
      <c r="A193" s="41"/>
      <c r="B193" s="43"/>
    </row>
    <row r="194" customFormat="false" ht="15.75" hidden="false" customHeight="true" outlineLevel="0" collapsed="false">
      <c r="A194" s="36"/>
      <c r="B194" s="43"/>
    </row>
    <row r="195" customFormat="false" ht="15.75" hidden="false" customHeight="true" outlineLevel="0" collapsed="false">
      <c r="A195" s="36"/>
      <c r="B195" s="43"/>
    </row>
    <row r="196" customFormat="false" ht="15.75" hidden="false" customHeight="true" outlineLevel="0" collapsed="false">
      <c r="A196" s="36"/>
      <c r="B196" s="43"/>
    </row>
    <row r="197" customFormat="false" ht="15.75" hidden="false" customHeight="true" outlineLevel="0" collapsed="false">
      <c r="A197" s="36"/>
      <c r="B197" s="43"/>
    </row>
    <row r="198" customFormat="false" ht="15.75" hidden="false" customHeight="true" outlineLevel="0" collapsed="false">
      <c r="A198" s="36"/>
      <c r="B198" s="43"/>
    </row>
    <row r="199" customFormat="false" ht="15.75" hidden="false" customHeight="true" outlineLevel="0" collapsed="false">
      <c r="A199" s="36"/>
      <c r="B199" s="43"/>
    </row>
    <row r="200" customFormat="false" ht="15.75" hidden="false" customHeight="true" outlineLevel="0" collapsed="false">
      <c r="A200" s="36"/>
      <c r="B200" s="43"/>
    </row>
    <row r="201" customFormat="false" ht="15.75" hidden="false" customHeight="true" outlineLevel="0" collapsed="false">
      <c r="A201" s="36"/>
      <c r="B201" s="43"/>
    </row>
    <row r="202" customFormat="false" ht="15.75" hidden="false" customHeight="true" outlineLevel="0" collapsed="false">
      <c r="A202" s="36"/>
      <c r="B202" s="43"/>
    </row>
    <row r="203" customFormat="false" ht="15.75" hidden="false" customHeight="true" outlineLevel="0" collapsed="false">
      <c r="A203" s="41"/>
      <c r="B203" s="43"/>
    </row>
    <row r="204" customFormat="false" ht="15.75" hidden="false" customHeight="true" outlineLevel="0" collapsed="false">
      <c r="A204" s="41"/>
      <c r="B204" s="43"/>
    </row>
    <row r="205" customFormat="false" ht="15.75" hidden="false" customHeight="true" outlineLevel="0" collapsed="false">
      <c r="A205" s="41"/>
      <c r="B205" s="43"/>
    </row>
    <row r="206" customFormat="false" ht="15.75" hidden="false" customHeight="true" outlineLevel="0" collapsed="false">
      <c r="A206" s="36"/>
      <c r="B206" s="43"/>
    </row>
    <row r="207" customFormat="false" ht="15.75" hidden="false" customHeight="true" outlineLevel="0" collapsed="false">
      <c r="A207" s="36"/>
      <c r="B207" s="43"/>
    </row>
    <row r="208" customFormat="false" ht="15.75" hidden="false" customHeight="true" outlineLevel="0" collapsed="false">
      <c r="A208" s="36"/>
      <c r="B208" s="43"/>
    </row>
    <row r="209" customFormat="false" ht="15.75" hidden="false" customHeight="true" outlineLevel="0" collapsed="false">
      <c r="A209" s="36"/>
      <c r="B209" s="43"/>
    </row>
    <row r="210" customFormat="false" ht="15.75" hidden="false" customHeight="true" outlineLevel="0" collapsed="false">
      <c r="A210" s="36"/>
      <c r="B210" s="43"/>
    </row>
    <row r="211" customFormat="false" ht="15.75" hidden="false" customHeight="true" outlineLevel="0" collapsed="false">
      <c r="A211" s="36"/>
      <c r="B211" s="43"/>
    </row>
    <row r="212" customFormat="false" ht="15.75" hidden="false" customHeight="true" outlineLevel="0" collapsed="false">
      <c r="A212" s="36"/>
      <c r="B212" s="43"/>
    </row>
    <row r="213" customFormat="false" ht="15.75" hidden="false" customHeight="true" outlineLevel="0" collapsed="false">
      <c r="A213" s="36"/>
      <c r="B213" s="43"/>
    </row>
    <row r="214" customFormat="false" ht="15.75" hidden="false" customHeight="true" outlineLevel="0" collapsed="false">
      <c r="A214" s="36"/>
      <c r="B214" s="43"/>
    </row>
    <row r="215" customFormat="false" ht="15.75" hidden="false" customHeight="true" outlineLevel="0" collapsed="false">
      <c r="A215" s="41"/>
      <c r="B215" s="43"/>
    </row>
    <row r="216" customFormat="false" ht="15.75" hidden="false" customHeight="true" outlineLevel="0" collapsed="false">
      <c r="A216" s="41"/>
      <c r="B216" s="43"/>
    </row>
    <row r="217" customFormat="false" ht="15.75" hidden="false" customHeight="true" outlineLevel="0" collapsed="false">
      <c r="A217" s="41"/>
      <c r="B217" s="43"/>
    </row>
    <row r="218" customFormat="false" ht="15.75" hidden="false" customHeight="true" outlineLevel="0" collapsed="false">
      <c r="A218" s="36"/>
      <c r="B218" s="43"/>
    </row>
    <row r="219" customFormat="false" ht="15.75" hidden="false" customHeight="true" outlineLevel="0" collapsed="false">
      <c r="A219" s="36"/>
      <c r="B219" s="43"/>
    </row>
    <row r="220" customFormat="false" ht="15.75" hidden="false" customHeight="true" outlineLevel="0" collapsed="false">
      <c r="A220" s="36"/>
      <c r="B220" s="43"/>
    </row>
    <row r="221" customFormat="false" ht="15.75" hidden="false" customHeight="true" outlineLevel="0" collapsed="false">
      <c r="A221" s="36"/>
      <c r="B221" s="43"/>
    </row>
    <row r="222" customFormat="false" ht="15.75" hidden="false" customHeight="true" outlineLevel="0" collapsed="false">
      <c r="A222" s="36"/>
      <c r="B222" s="43"/>
    </row>
    <row r="223" customFormat="false" ht="15.75" hidden="false" customHeight="true" outlineLevel="0" collapsed="false">
      <c r="A223" s="36"/>
      <c r="B223" s="43"/>
    </row>
    <row r="224" customFormat="false" ht="15.75" hidden="false" customHeight="true" outlineLevel="0" collapsed="false">
      <c r="A224" s="36"/>
      <c r="B224" s="43"/>
    </row>
    <row r="225" customFormat="false" ht="15.75" hidden="false" customHeight="true" outlineLevel="0" collapsed="false">
      <c r="A225" s="36"/>
      <c r="B225" s="43"/>
    </row>
    <row r="226" customFormat="false" ht="15.75" hidden="false" customHeight="true" outlineLevel="0" collapsed="false">
      <c r="A226" s="36"/>
      <c r="B226" s="43"/>
    </row>
    <row r="227" customFormat="false" ht="15.75" hidden="false" customHeight="true" outlineLevel="0" collapsed="false">
      <c r="A227" s="41"/>
      <c r="B227" s="43"/>
    </row>
    <row r="228" customFormat="false" ht="15.75" hidden="false" customHeight="true" outlineLevel="0" collapsed="false">
      <c r="A228" s="41"/>
      <c r="B228" s="43"/>
    </row>
    <row r="229" customFormat="false" ht="15.75" hidden="false" customHeight="true" outlineLevel="0" collapsed="false">
      <c r="A229" s="41"/>
      <c r="B229" s="43"/>
    </row>
    <row r="230" customFormat="false" ht="15.75" hidden="false" customHeight="true" outlineLevel="0" collapsed="false">
      <c r="A230" s="36"/>
      <c r="B230" s="43"/>
    </row>
    <row r="231" customFormat="false" ht="15.75" hidden="false" customHeight="true" outlineLevel="0" collapsed="false">
      <c r="A231" s="36"/>
      <c r="B231" s="43"/>
    </row>
    <row r="232" customFormat="false" ht="15.75" hidden="false" customHeight="true" outlineLevel="0" collapsed="false">
      <c r="A232" s="36"/>
      <c r="B232" s="43"/>
    </row>
    <row r="233" customFormat="false" ht="15.75" hidden="false" customHeight="true" outlineLevel="0" collapsed="false">
      <c r="A233" s="36"/>
      <c r="B233" s="43"/>
    </row>
    <row r="234" customFormat="false" ht="15.75" hidden="false" customHeight="true" outlineLevel="0" collapsed="false">
      <c r="A234" s="36"/>
      <c r="B234" s="43"/>
    </row>
    <row r="235" customFormat="false" ht="15.75" hidden="false" customHeight="true" outlineLevel="0" collapsed="false">
      <c r="A235" s="36"/>
      <c r="B235" s="43"/>
    </row>
    <row r="236" customFormat="false" ht="15.75" hidden="false" customHeight="true" outlineLevel="0" collapsed="false">
      <c r="A236" s="36"/>
      <c r="B236" s="43"/>
    </row>
    <row r="237" customFormat="false" ht="15.75" hidden="false" customHeight="true" outlineLevel="0" collapsed="false">
      <c r="A237" s="36"/>
      <c r="B237" s="43"/>
    </row>
    <row r="238" customFormat="false" ht="15.75" hidden="false" customHeight="true" outlineLevel="0" collapsed="false">
      <c r="A238" s="36"/>
      <c r="B238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9.88"/>
    <col collapsed="false" customWidth="true" hidden="false" outlineLevel="0" max="7" min="7" style="1" width="14.88"/>
  </cols>
  <sheetData>
    <row r="1" customFormat="false" ht="36.75" hidden="false" customHeight="true" outlineLevel="0" collapsed="false">
      <c r="A1" s="44" t="s">
        <v>258</v>
      </c>
      <c r="B1" s="44" t="s">
        <v>259</v>
      </c>
      <c r="C1" s="44" t="s">
        <v>243</v>
      </c>
      <c r="D1" s="44" t="s">
        <v>260</v>
      </c>
      <c r="E1" s="44" t="s">
        <v>261</v>
      </c>
      <c r="G1" s="30" t="s">
        <v>247</v>
      </c>
    </row>
    <row r="2" customFormat="false" ht="15.75" hidden="false" customHeight="true" outlineLevel="0" collapsed="false">
      <c r="A2" s="30" t="n">
        <v>1</v>
      </c>
      <c r="B2" s="30" t="n">
        <v>2016</v>
      </c>
      <c r="C2" s="41" t="n">
        <v>42731</v>
      </c>
      <c r="D2" s="38" t="n">
        <v>0.056</v>
      </c>
      <c r="E2" s="38" t="n">
        <v>0.0638</v>
      </c>
    </row>
    <row r="3" customFormat="false" ht="15.75" hidden="false" customHeight="true" outlineLevel="0" collapsed="false">
      <c r="A3" s="30" t="n">
        <v>2</v>
      </c>
      <c r="B3" s="30" t="n">
        <v>2017</v>
      </c>
      <c r="C3" s="41" t="n">
        <v>43095</v>
      </c>
      <c r="D3" s="38" t="n">
        <v>0.0435</v>
      </c>
      <c r="E3" s="38" t="n">
        <v>0.0519</v>
      </c>
      <c r="H3" s="30" t="s">
        <v>262</v>
      </c>
    </row>
    <row r="4" customFormat="false" ht="15.75" hidden="false" customHeight="true" outlineLevel="0" collapsed="false">
      <c r="A4" s="30" t="n">
        <v>3</v>
      </c>
      <c r="B4" s="30" t="n">
        <v>2018</v>
      </c>
      <c r="C4" s="41" t="n">
        <v>43462</v>
      </c>
      <c r="D4" s="38" t="n">
        <v>0.0456</v>
      </c>
      <c r="E4" s="38" t="n">
        <v>0.0513</v>
      </c>
      <c r="G4" s="31" t="s">
        <v>248</v>
      </c>
      <c r="H4" s="38" t="n">
        <f aca="false">_xlfn.STDEV.S(E2:E12)</f>
        <v>0.0136507009477036</v>
      </c>
    </row>
    <row r="5" customFormat="false" ht="15.75" hidden="false" customHeight="true" outlineLevel="0" collapsed="false">
      <c r="A5" s="30" t="n">
        <v>4</v>
      </c>
      <c r="B5" s="30" t="n">
        <v>2019</v>
      </c>
      <c r="C5" s="41" t="n">
        <v>43830</v>
      </c>
      <c r="D5" s="38" t="n">
        <v>0.0203</v>
      </c>
      <c r="E5" s="38" t="n">
        <v>0.0342</v>
      </c>
      <c r="G5" s="31" t="s">
        <v>249</v>
      </c>
      <c r="H5" s="38" t="n">
        <f aca="false">AVERAGE(E2:E12)</f>
        <v>0.0402181818181818</v>
      </c>
    </row>
    <row r="6" customFormat="false" ht="15.75" hidden="false" customHeight="true" outlineLevel="0" collapsed="false">
      <c r="A6" s="30" t="n">
        <v>5</v>
      </c>
      <c r="B6" s="30" t="n">
        <v>2020</v>
      </c>
      <c r="C6" s="41" t="n">
        <v>44196</v>
      </c>
      <c r="D6" s="38" t="n">
        <v>0.0121</v>
      </c>
      <c r="E6" s="38" t="n">
        <v>0.0245</v>
      </c>
      <c r="G6" s="4" t="s">
        <v>263</v>
      </c>
      <c r="H6" s="34" t="n">
        <f aca="false">AVERAGE(D2:D12)</f>
        <v>0.0322727272727273</v>
      </c>
    </row>
    <row r="7" customFormat="false" ht="15.75" hidden="false" customHeight="true" outlineLevel="0" collapsed="false">
      <c r="A7" s="30" t="n">
        <v>6</v>
      </c>
      <c r="B7" s="30" t="n">
        <v>2021</v>
      </c>
      <c r="C7" s="41" t="n">
        <v>44561</v>
      </c>
      <c r="D7" s="38" t="n">
        <v>0.0088</v>
      </c>
      <c r="E7" s="38" t="n">
        <v>0.0235</v>
      </c>
      <c r="G7" s="4" t="s">
        <v>264</v>
      </c>
      <c r="H7" s="34" t="n">
        <f aca="false">STDEV(D2:D12)</f>
        <v>0.0163854869264902</v>
      </c>
    </row>
    <row r="8" customFormat="false" ht="15.75" hidden="false" customHeight="true" outlineLevel="0" collapsed="false">
      <c r="A8" s="30" t="n">
        <v>7</v>
      </c>
      <c r="B8" s="30" t="n">
        <v>2022</v>
      </c>
      <c r="C8" s="41" t="n">
        <v>44925</v>
      </c>
      <c r="D8" s="38" t="n">
        <v>0.0493</v>
      </c>
      <c r="E8" s="38" t="n">
        <v>0.0504</v>
      </c>
    </row>
    <row r="9" customFormat="false" ht="15.75" hidden="false" customHeight="true" outlineLevel="0" collapsed="false">
      <c r="A9" s="30" t="n">
        <v>8</v>
      </c>
      <c r="B9" s="30" t="n">
        <v>2023</v>
      </c>
      <c r="C9" s="41" t="n">
        <v>45289</v>
      </c>
      <c r="D9" s="38" t="n">
        <v>0.0172</v>
      </c>
      <c r="E9" s="38" t="n">
        <v>0.0239</v>
      </c>
      <c r="G9" s="3" t="s">
        <v>265</v>
      </c>
    </row>
    <row r="10" customFormat="false" ht="15.75" hidden="false" customHeight="true" outlineLevel="0" collapsed="false">
      <c r="A10" s="30" t="n">
        <v>9</v>
      </c>
      <c r="B10" s="30" t="n">
        <v>2024</v>
      </c>
      <c r="C10" s="41" t="n">
        <v>45657</v>
      </c>
      <c r="D10" s="38" t="n">
        <v>0.0244</v>
      </c>
      <c r="E10" s="38" t="n">
        <v>0.0312</v>
      </c>
      <c r="G10" s="3" t="s">
        <v>266</v>
      </c>
    </row>
    <row r="11" customFormat="false" ht="15.75" hidden="false" customHeight="true" outlineLevel="0" collapsed="false">
      <c r="A11" s="30" t="n">
        <v>10</v>
      </c>
      <c r="B11" s="30" t="n">
        <v>2025</v>
      </c>
      <c r="C11" s="41" t="n">
        <v>46022</v>
      </c>
      <c r="D11" s="38" t="n">
        <v>0.0339</v>
      </c>
      <c r="E11" s="38" t="n">
        <v>0.0419</v>
      </c>
    </row>
    <row r="12" customFormat="false" ht="15.75" hidden="false" customHeight="true" outlineLevel="0" collapsed="false">
      <c r="A12" s="30" t="n">
        <v>11</v>
      </c>
      <c r="B12" s="30" t="n">
        <v>2026</v>
      </c>
      <c r="C12" s="36" t="n">
        <v>46290</v>
      </c>
      <c r="D12" s="38" t="n">
        <v>0.0439</v>
      </c>
      <c r="E12" s="38" t="n">
        <v>0.0458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4" t="s">
        <v>267</v>
      </c>
      <c r="B1" s="45" t="s">
        <v>268</v>
      </c>
      <c r="C1" s="46" t="s">
        <v>269</v>
      </c>
      <c r="Q1" s="4" t="s">
        <v>270</v>
      </c>
    </row>
    <row r="2" customFormat="false" ht="15.75" hidden="false" customHeight="true" outlineLevel="0" collapsed="false">
      <c r="A2" s="47" t="n">
        <v>46235</v>
      </c>
      <c r="B2" s="48" t="n">
        <v>1832.12</v>
      </c>
      <c r="C2" s="49" t="n">
        <f aca="false">B2/B3-1</f>
        <v>0.0555024254225764</v>
      </c>
      <c r="D2" s="30"/>
      <c r="E2" s="38"/>
      <c r="G2" s="46"/>
      <c r="H2" s="46"/>
      <c r="I2" s="46"/>
      <c r="J2" s="46"/>
      <c r="K2" s="46"/>
      <c r="L2" s="46"/>
      <c r="M2" s="46"/>
      <c r="N2" s="46"/>
      <c r="O2" s="46"/>
    </row>
    <row r="3" customFormat="false" ht="15.75" hidden="false" customHeight="true" outlineLevel="0" collapsed="false">
      <c r="A3" s="47" t="n">
        <v>46204</v>
      </c>
      <c r="B3" s="48" t="n">
        <v>1735.78</v>
      </c>
      <c r="C3" s="49" t="n">
        <f aca="false">B3/B4-1</f>
        <v>-0.0667899634948199</v>
      </c>
      <c r="D3" s="30"/>
      <c r="E3" s="38"/>
      <c r="G3" s="46"/>
      <c r="H3" s="46"/>
      <c r="I3" s="46"/>
      <c r="J3" s="46"/>
      <c r="K3" s="46"/>
      <c r="L3" s="46"/>
      <c r="M3" s="46"/>
      <c r="N3" s="46"/>
      <c r="O3" s="46"/>
      <c r="P3" s="4" t="s">
        <v>271</v>
      </c>
      <c r="Q3" s="34" t="n">
        <f aca="false">AVERAGE(C2:C64)</f>
        <v>0.00665870690797409</v>
      </c>
    </row>
    <row r="4" customFormat="false" ht="15.75" hidden="false" customHeight="true" outlineLevel="0" collapsed="false">
      <c r="A4" s="47" t="n">
        <v>46174</v>
      </c>
      <c r="B4" s="48" t="n">
        <v>1860.01</v>
      </c>
      <c r="C4" s="49" t="n">
        <f aca="false">B4/B5-1</f>
        <v>-0.00186746373739599</v>
      </c>
      <c r="D4" s="30"/>
      <c r="E4" s="38"/>
      <c r="G4" s="46"/>
      <c r="H4" s="46"/>
      <c r="I4" s="46"/>
      <c r="J4" s="46"/>
      <c r="K4" s="46"/>
      <c r="L4" s="46"/>
      <c r="M4" s="46"/>
      <c r="N4" s="46"/>
      <c r="O4" s="46"/>
      <c r="P4" s="4" t="s">
        <v>272</v>
      </c>
      <c r="Q4" s="34" t="n">
        <f aca="false">STDEV(C2:C64)</f>
        <v>0.0557061981000524</v>
      </c>
    </row>
    <row r="5" customFormat="false" ht="15.75" hidden="false" customHeight="true" outlineLevel="0" collapsed="false">
      <c r="A5" s="47" t="n">
        <v>46143</v>
      </c>
      <c r="B5" s="48" t="n">
        <v>1863.49</v>
      </c>
      <c r="C5" s="49" t="n">
        <f aca="false">B5/B6-1</f>
        <v>0.00506445175556869</v>
      </c>
      <c r="D5" s="30"/>
      <c r="E5" s="38"/>
      <c r="G5" s="46"/>
      <c r="H5" s="46"/>
      <c r="I5" s="46"/>
      <c r="J5" s="46"/>
      <c r="K5" s="46"/>
      <c r="L5" s="46"/>
      <c r="M5" s="46"/>
      <c r="N5" s="46"/>
      <c r="O5" s="46"/>
      <c r="P5" s="4" t="s">
        <v>273</v>
      </c>
      <c r="Q5" s="34" t="n">
        <f aca="false">Q3*12</f>
        <v>0.0799044828956891</v>
      </c>
    </row>
    <row r="6" customFormat="false" ht="15.75" hidden="false" customHeight="true" outlineLevel="0" collapsed="false">
      <c r="A6" s="50" t="n">
        <v>46113</v>
      </c>
      <c r="B6" s="49" t="n">
        <v>1854.1</v>
      </c>
      <c r="C6" s="49" t="n">
        <f aca="false">B6/B7-1</f>
        <v>0.107262509779097</v>
      </c>
      <c r="D6" s="51" t="s">
        <v>274</v>
      </c>
      <c r="E6" s="52" t="n">
        <v>0.142</v>
      </c>
      <c r="G6" s="53" t="s">
        <v>275</v>
      </c>
      <c r="H6" s="53"/>
      <c r="I6" s="46"/>
      <c r="J6" s="46"/>
      <c r="K6" s="46"/>
      <c r="L6" s="46"/>
      <c r="M6" s="46"/>
      <c r="N6" s="46"/>
      <c r="O6" s="46"/>
      <c r="P6" s="4" t="s">
        <v>276</v>
      </c>
      <c r="Q6" s="34" t="n">
        <f aca="false">Q4*SQRT(12)</f>
        <v>0.192971930811575</v>
      </c>
    </row>
    <row r="7" customFormat="false" ht="15.75" hidden="false" customHeight="true" outlineLevel="0" collapsed="false">
      <c r="A7" s="50" t="n">
        <v>46082</v>
      </c>
      <c r="B7" s="54" t="n">
        <v>1674.49</v>
      </c>
      <c r="C7" s="49" t="n">
        <f aca="false">B7/B8-1</f>
        <v>-0.109470146197742</v>
      </c>
      <c r="G7" s="46"/>
      <c r="H7" s="46"/>
      <c r="I7" s="46"/>
      <c r="J7" s="46"/>
      <c r="K7" s="46"/>
      <c r="L7" s="46"/>
      <c r="M7" s="46"/>
      <c r="N7" s="46"/>
      <c r="O7" s="46"/>
      <c r="P7" s="4" t="s">
        <v>277</v>
      </c>
      <c r="Q7" s="34" t="n">
        <f aca="false">(B2/B65)^(12/(ROWS(B2:B65)-1))-1</f>
        <v>0.0632050863920664</v>
      </c>
    </row>
    <row r="8" customFormat="false" ht="15.75" hidden="false" customHeight="true" outlineLevel="0" collapsed="false">
      <c r="A8" s="50" t="n">
        <v>46054</v>
      </c>
      <c r="B8" s="54" t="n">
        <v>1880.33</v>
      </c>
      <c r="C8" s="49" t="n">
        <f aca="false">B8/B9-1</f>
        <v>0.0280420329790492</v>
      </c>
      <c r="G8" s="55" t="s">
        <v>278</v>
      </c>
      <c r="H8" s="55"/>
      <c r="I8" s="46"/>
      <c r="J8" s="46"/>
      <c r="K8" s="46"/>
      <c r="L8" s="46"/>
      <c r="M8" s="46"/>
      <c r="N8" s="46"/>
      <c r="O8" s="46"/>
    </row>
    <row r="9" customFormat="false" ht="15.75" hidden="false" customHeight="true" outlineLevel="0" collapsed="false">
      <c r="A9" s="50" t="n">
        <v>46023</v>
      </c>
      <c r="B9" s="54" t="n">
        <v>1829.04</v>
      </c>
      <c r="C9" s="49" t="n">
        <f aca="false">B9/B10-1</f>
        <v>0.0249651160835869</v>
      </c>
      <c r="G9" s="46" t="s">
        <v>279</v>
      </c>
      <c r="H9" s="56" t="n">
        <v>622.139</v>
      </c>
      <c r="I9" s="46"/>
      <c r="J9" s="46"/>
      <c r="K9" s="46"/>
      <c r="L9" s="46"/>
      <c r="M9" s="46"/>
      <c r="N9" s="46"/>
      <c r="O9" s="46"/>
    </row>
    <row r="10" customFormat="false" ht="15.75" hidden="false" customHeight="true" outlineLevel="0" collapsed="false">
      <c r="A10" s="50" t="n">
        <v>45992</v>
      </c>
      <c r="B10" s="54" t="n">
        <v>1784.49</v>
      </c>
      <c r="C10" s="49" t="n">
        <f aca="false">B10/B11-1</f>
        <v>0.0552930531818638</v>
      </c>
      <c r="G10" s="46" t="s">
        <v>280</v>
      </c>
      <c r="H10" s="56" t="n">
        <v>387.057</v>
      </c>
      <c r="I10" s="46"/>
      <c r="J10" s="46"/>
      <c r="K10" s="46"/>
      <c r="L10" s="46"/>
      <c r="M10" s="46"/>
      <c r="N10" s="46"/>
      <c r="O10" s="46"/>
      <c r="P10" s="3" t="s">
        <v>281</v>
      </c>
    </row>
    <row r="11" customFormat="false" ht="15.75" hidden="false" customHeight="true" outlineLevel="0" collapsed="false">
      <c r="A11" s="50" t="n">
        <v>45962</v>
      </c>
      <c r="B11" s="54" t="n">
        <v>1690.99</v>
      </c>
      <c r="C11" s="49" t="n">
        <f aca="false">B11/B12-1</f>
        <v>0.0313115603939864</v>
      </c>
      <c r="G11" s="46" t="s">
        <v>282</v>
      </c>
      <c r="H11" s="56" t="n">
        <v>376.489</v>
      </c>
      <c r="I11" s="46"/>
      <c r="J11" s="46"/>
      <c r="K11" s="46"/>
      <c r="L11" s="46"/>
      <c r="M11" s="46"/>
      <c r="N11" s="46"/>
      <c r="O11" s="46"/>
      <c r="P11" s="3" t="s">
        <v>283</v>
      </c>
    </row>
    <row r="12" customFormat="false" ht="15.75" hidden="false" customHeight="true" outlineLevel="0" collapsed="false">
      <c r="A12" s="50" t="n">
        <v>45931</v>
      </c>
      <c r="B12" s="54" t="n">
        <v>1639.65</v>
      </c>
      <c r="C12" s="49" t="n">
        <f aca="false">B12/B13-1</f>
        <v>-0.0132695432388518</v>
      </c>
      <c r="G12" s="46" t="s">
        <v>284</v>
      </c>
      <c r="H12" s="56" t="n">
        <v>80.052</v>
      </c>
      <c r="I12" s="46"/>
      <c r="J12" s="46"/>
      <c r="K12" s="46"/>
      <c r="L12" s="46"/>
      <c r="M12" s="46"/>
      <c r="N12" s="46"/>
      <c r="O12" s="46"/>
      <c r="P12" s="3" t="s">
        <v>285</v>
      </c>
    </row>
    <row r="13" customFormat="false" ht="15.75" hidden="false" customHeight="true" outlineLevel="0" collapsed="false">
      <c r="A13" s="50" t="n">
        <v>45901</v>
      </c>
      <c r="B13" s="54" t="n">
        <v>1661.7</v>
      </c>
      <c r="C13" s="49" t="n">
        <f aca="false">B13/B14-1</f>
        <v>-0.0121922946600008</v>
      </c>
      <c r="G13" s="57" t="s">
        <v>286</v>
      </c>
      <c r="H13" s="58" t="n">
        <v>60</v>
      </c>
      <c r="I13" s="46"/>
      <c r="J13" s="46"/>
      <c r="K13" s="46"/>
      <c r="L13" s="46"/>
      <c r="M13" s="46"/>
      <c r="N13" s="46"/>
      <c r="O13" s="46"/>
      <c r="P13" s="3" t="s">
        <v>287</v>
      </c>
    </row>
    <row r="14" customFormat="false" ht="15.75" hidden="false" customHeight="true" outlineLevel="0" collapsed="false">
      <c r="A14" s="50" t="n">
        <v>45870</v>
      </c>
      <c r="B14" s="54" t="n">
        <v>1682.21</v>
      </c>
      <c r="C14" s="49" t="n">
        <f aca="false">B14/B15-1</f>
        <v>0.119592418070974</v>
      </c>
      <c r="G14" s="46"/>
      <c r="H14" s="46"/>
      <c r="I14" s="46"/>
      <c r="J14" s="46"/>
      <c r="K14" s="46"/>
      <c r="L14" s="46"/>
      <c r="M14" s="46"/>
      <c r="N14" s="46"/>
      <c r="O14" s="46"/>
    </row>
    <row r="15" customFormat="false" ht="15.75" hidden="false" customHeight="true" outlineLevel="0" collapsed="false">
      <c r="A15" s="50" t="n">
        <v>45839</v>
      </c>
      <c r="B15" s="54" t="n">
        <v>1502.52</v>
      </c>
      <c r="C15" s="49" t="n">
        <f aca="false">B15/B16-1</f>
        <v>0.091892127580719</v>
      </c>
      <c r="G15" s="46" t="s">
        <v>288</v>
      </c>
      <c r="H15" s="46"/>
      <c r="I15" s="46"/>
      <c r="J15" s="46"/>
      <c r="K15" s="46"/>
      <c r="L15" s="46"/>
      <c r="M15" s="46"/>
      <c r="N15" s="46"/>
      <c r="O15" s="46"/>
    </row>
    <row r="16" customFormat="false" ht="15.75" hidden="false" customHeight="true" outlineLevel="0" collapsed="false">
      <c r="A16" s="50" t="n">
        <v>45809</v>
      </c>
      <c r="B16" s="54" t="n">
        <v>1376.07</v>
      </c>
      <c r="C16" s="49" t="n">
        <f aca="false">B16/B17-1</f>
        <v>0.0326204412426836</v>
      </c>
      <c r="G16" s="55"/>
      <c r="H16" s="55" t="s">
        <v>289</v>
      </c>
      <c r="I16" s="55" t="s">
        <v>290</v>
      </c>
      <c r="J16" s="55" t="s">
        <v>291</v>
      </c>
      <c r="K16" s="55" t="s">
        <v>292</v>
      </c>
      <c r="L16" s="55" t="s">
        <v>293</v>
      </c>
      <c r="M16" s="46"/>
      <c r="N16" s="46"/>
      <c r="O16" s="46"/>
    </row>
    <row r="17" customFormat="false" ht="15.75" hidden="false" customHeight="true" outlineLevel="0" collapsed="false">
      <c r="A17" s="50" t="n">
        <v>45778</v>
      </c>
      <c r="B17" s="54" t="n">
        <v>1332.6</v>
      </c>
      <c r="C17" s="49" t="n">
        <f aca="false">B17/B18-1</f>
        <v>0.0866835195302944</v>
      </c>
      <c r="G17" s="46" t="s">
        <v>294</v>
      </c>
      <c r="H17" s="54" t="n">
        <v>1</v>
      </c>
      <c r="I17" s="56" t="n">
        <v>234.709</v>
      </c>
      <c r="J17" s="56" t="n">
        <v>234.709</v>
      </c>
      <c r="K17" s="56" t="s">
        <v>295</v>
      </c>
      <c r="L17" s="59" t="n">
        <v>1.12E-007</v>
      </c>
      <c r="M17" s="46"/>
      <c r="N17" s="46"/>
      <c r="O17" s="46"/>
    </row>
    <row r="18" customFormat="false" ht="15.75" hidden="false" customHeight="true" outlineLevel="0" collapsed="false">
      <c r="A18" s="50" t="n">
        <v>45748</v>
      </c>
      <c r="B18" s="54" t="n">
        <v>1226.3</v>
      </c>
      <c r="C18" s="49" t="n">
        <f aca="false">B18/B19-1</f>
        <v>-0.0616439404373842</v>
      </c>
      <c r="G18" s="46" t="s">
        <v>296</v>
      </c>
      <c r="H18" s="54" t="n">
        <v>58</v>
      </c>
      <c r="I18" s="56" t="n">
        <v>371.684</v>
      </c>
      <c r="J18" s="56" t="n">
        <v>6.408</v>
      </c>
      <c r="K18" s="46"/>
      <c r="L18" s="46"/>
      <c r="M18" s="46"/>
      <c r="N18" s="46"/>
      <c r="O18" s="46"/>
    </row>
    <row r="19" customFormat="false" ht="15.75" hidden="false" customHeight="true" outlineLevel="0" collapsed="false">
      <c r="A19" s="50" t="n">
        <v>45717</v>
      </c>
      <c r="B19" s="54" t="n">
        <v>1306.86</v>
      </c>
      <c r="C19" s="49" t="n">
        <f aca="false">B19/B20-1</f>
        <v>0.00114910829196546</v>
      </c>
      <c r="G19" s="57" t="s">
        <v>297</v>
      </c>
      <c r="H19" s="58" t="n">
        <v>59</v>
      </c>
      <c r="I19" s="60" t="n">
        <v>606.393</v>
      </c>
      <c r="J19" s="57"/>
      <c r="K19" s="57"/>
      <c r="L19" s="57"/>
      <c r="M19" s="46"/>
      <c r="N19" s="46"/>
      <c r="O19" s="46"/>
    </row>
    <row r="20" customFormat="false" ht="15.75" hidden="false" customHeight="true" outlineLevel="0" collapsed="false">
      <c r="A20" s="50" t="n">
        <v>45689</v>
      </c>
      <c r="B20" s="54" t="n">
        <v>1305.36</v>
      </c>
      <c r="C20" s="49" t="n">
        <f aca="false">B20/B21-1</f>
        <v>0.031864353187621</v>
      </c>
      <c r="G20" s="46"/>
      <c r="H20" s="46"/>
      <c r="I20" s="46"/>
      <c r="J20" s="46"/>
      <c r="K20" s="46"/>
      <c r="L20" s="46"/>
      <c r="M20" s="46"/>
      <c r="N20" s="46"/>
      <c r="O20" s="46"/>
    </row>
    <row r="21" customFormat="false" ht="15.75" hidden="false" customHeight="true" outlineLevel="0" collapsed="false">
      <c r="A21" s="50" t="n">
        <v>45658</v>
      </c>
      <c r="B21" s="54" t="n">
        <v>1265.05</v>
      </c>
      <c r="C21" s="49" t="n">
        <f aca="false">B21/B22-1</f>
        <v>-0.00136566728240106</v>
      </c>
      <c r="G21" s="55"/>
      <c r="H21" s="55" t="s">
        <v>298</v>
      </c>
      <c r="I21" s="55" t="s">
        <v>284</v>
      </c>
      <c r="J21" s="55" t="s">
        <v>299</v>
      </c>
      <c r="K21" s="55" t="s">
        <v>300</v>
      </c>
      <c r="L21" s="55" t="s">
        <v>301</v>
      </c>
      <c r="M21" s="55" t="s">
        <v>302</v>
      </c>
      <c r="N21" s="55" t="s">
        <v>303</v>
      </c>
      <c r="O21" s="55" t="s">
        <v>304</v>
      </c>
    </row>
    <row r="22" customFormat="false" ht="15.75" hidden="false" customHeight="true" outlineLevel="0" collapsed="false">
      <c r="A22" s="50" t="n">
        <v>45627</v>
      </c>
      <c r="B22" s="54" t="n">
        <v>1266.78</v>
      </c>
      <c r="C22" s="49" t="n">
        <f aca="false">B22/B23-1</f>
        <v>0.0130511971594454</v>
      </c>
      <c r="G22" s="46" t="s">
        <v>305</v>
      </c>
      <c r="H22" s="56" t="n">
        <v>-1.626</v>
      </c>
      <c r="I22" s="56" t="n">
        <v>10.451</v>
      </c>
      <c r="J22" s="56" t="n">
        <v>-15.557</v>
      </c>
      <c r="K22" s="56" t="s">
        <v>306</v>
      </c>
      <c r="L22" s="56" t="n">
        <v>-3.718</v>
      </c>
      <c r="M22" s="56" t="n">
        <v>4.661</v>
      </c>
      <c r="N22" s="56" t="n">
        <v>-3.718</v>
      </c>
      <c r="O22" s="56" t="n">
        <v>4.661</v>
      </c>
    </row>
    <row r="23" customFormat="false" ht="15.75" hidden="false" customHeight="true" outlineLevel="0" collapsed="false">
      <c r="A23" s="50" t="n">
        <v>45597</v>
      </c>
      <c r="B23" s="54" t="n">
        <v>1250.46</v>
      </c>
      <c r="C23" s="49" t="n">
        <f aca="false">B23/B24-1</f>
        <v>-0.0110875616854359</v>
      </c>
      <c r="G23" s="57" t="s">
        <v>307</v>
      </c>
      <c r="H23" s="60" t="s">
        <v>308</v>
      </c>
      <c r="I23" s="60" t="n">
        <v>183.777</v>
      </c>
      <c r="J23" s="60" t="s">
        <v>309</v>
      </c>
      <c r="K23" s="61" t="n">
        <v>0.0111901</v>
      </c>
      <c r="L23" s="60" t="n">
        <v>744.331</v>
      </c>
      <c r="M23" s="60" t="s">
        <v>310</v>
      </c>
      <c r="N23" s="60" t="n">
        <v>744.331</v>
      </c>
      <c r="O23" s="60" t="s">
        <v>310</v>
      </c>
    </row>
    <row r="24" customFormat="false" ht="15.75" hidden="false" customHeight="true" outlineLevel="0" collapsed="false">
      <c r="A24" s="50" t="n">
        <v>45566</v>
      </c>
      <c r="B24" s="54" t="n">
        <v>1264.48</v>
      </c>
      <c r="C24" s="49" t="n">
        <f aca="false">B24/B25-1</f>
        <v>-0.0182151342453841</v>
      </c>
    </row>
    <row r="25" customFormat="false" ht="15.75" hidden="false" customHeight="true" outlineLevel="0" collapsed="false">
      <c r="A25" s="50" t="n">
        <v>45536</v>
      </c>
      <c r="B25" s="54" t="n">
        <v>1287.94</v>
      </c>
      <c r="C25" s="49" t="n">
        <f aca="false">B25/B26-1</f>
        <v>0.00317010289203745</v>
      </c>
    </row>
    <row r="26" customFormat="false" ht="15.75" hidden="false" customHeight="true" outlineLevel="0" collapsed="false">
      <c r="A26" s="50" t="n">
        <v>45505</v>
      </c>
      <c r="B26" s="54" t="n">
        <v>1283.87</v>
      </c>
      <c r="C26" s="49" t="n">
        <f aca="false">B26/B27-1</f>
        <v>0.0258567650278463</v>
      </c>
    </row>
    <row r="27" customFormat="false" ht="15.75" hidden="false" customHeight="true" outlineLevel="0" collapsed="false">
      <c r="A27" s="50" t="n">
        <v>45474</v>
      </c>
      <c r="B27" s="54" t="n">
        <v>1251.51</v>
      </c>
      <c r="C27" s="49" t="n">
        <f aca="false">B27/B28-1</f>
        <v>0.00497060996370413</v>
      </c>
    </row>
    <row r="28" customFormat="false" ht="15.75" hidden="false" customHeight="true" outlineLevel="0" collapsed="false">
      <c r="A28" s="50" t="n">
        <v>45444</v>
      </c>
      <c r="B28" s="54" t="n">
        <v>1245.32</v>
      </c>
      <c r="C28" s="49" t="n">
        <f aca="false">B28/B29-1</f>
        <v>-0.0129981295374568</v>
      </c>
    </row>
    <row r="29" customFormat="false" ht="15.75" hidden="false" customHeight="true" outlineLevel="0" collapsed="false">
      <c r="A29" s="50" t="n">
        <v>45413</v>
      </c>
      <c r="B29" s="54" t="n">
        <v>1261.72</v>
      </c>
      <c r="C29" s="49" t="n">
        <f aca="false">B29/B30-1</f>
        <v>0.0431576162444607</v>
      </c>
    </row>
    <row r="30" customFormat="false" ht="15.75" hidden="false" customHeight="true" outlineLevel="0" collapsed="false">
      <c r="A30" s="50" t="n">
        <v>45383</v>
      </c>
      <c r="B30" s="54" t="n">
        <v>1209.52</v>
      </c>
      <c r="C30" s="49" t="n">
        <f aca="false">B30/B31-1</f>
        <v>-0.0580722535024804</v>
      </c>
    </row>
    <row r="31" customFormat="false" ht="15.75" hidden="false" customHeight="true" outlineLevel="0" collapsed="false">
      <c r="A31" s="50" t="n">
        <v>45352</v>
      </c>
      <c r="B31" s="54" t="n">
        <v>1284.09</v>
      </c>
      <c r="C31" s="49" t="n">
        <f aca="false">B31/B32-1</f>
        <v>0.0250333272133658</v>
      </c>
    </row>
    <row r="32" customFormat="false" ht="15.75" hidden="false" customHeight="true" outlineLevel="0" collapsed="false">
      <c r="A32" s="50" t="n">
        <v>45323</v>
      </c>
      <c r="B32" s="54" t="n">
        <v>1252.73</v>
      </c>
      <c r="C32" s="49" t="n">
        <f aca="false">B32/B33-1</f>
        <v>0.0759419742164889</v>
      </c>
    </row>
    <row r="33" customFormat="false" ht="15.75" hidden="false" customHeight="true" outlineLevel="0" collapsed="false">
      <c r="A33" s="50" t="n">
        <v>45292</v>
      </c>
      <c r="B33" s="54" t="n">
        <v>1164.31</v>
      </c>
      <c r="C33" s="49" t="n">
        <f aca="false">B33/B34-1</f>
        <v>0.0304266635986299</v>
      </c>
    </row>
    <row r="34" customFormat="false" ht="15.75" hidden="false" customHeight="true" outlineLevel="0" collapsed="false">
      <c r="A34" s="50" t="n">
        <v>45261</v>
      </c>
      <c r="B34" s="54" t="n">
        <v>1129.93</v>
      </c>
      <c r="C34" s="49" t="n">
        <f aca="false">B34/B35-1</f>
        <v>0.0327200606874869</v>
      </c>
    </row>
    <row r="35" customFormat="false" ht="15.75" hidden="false" customHeight="true" outlineLevel="0" collapsed="false">
      <c r="A35" s="50" t="n">
        <v>45231</v>
      </c>
      <c r="B35" s="54" t="n">
        <v>1094.13</v>
      </c>
      <c r="C35" s="49" t="n">
        <f aca="false">B35/B36-1</f>
        <v>0.0641321156595571</v>
      </c>
    </row>
    <row r="36" customFormat="false" ht="15.75" hidden="false" customHeight="true" outlineLevel="0" collapsed="false">
      <c r="A36" s="50" t="n">
        <v>45200</v>
      </c>
      <c r="B36" s="54" t="n">
        <v>1028.19</v>
      </c>
      <c r="C36" s="49" t="n">
        <f aca="false">B36/B37-1</f>
        <v>-0.109136594030239</v>
      </c>
    </row>
    <row r="37" customFormat="false" ht="15.75" hidden="false" customHeight="true" outlineLevel="0" collapsed="false">
      <c r="A37" s="50" t="n">
        <v>45170</v>
      </c>
      <c r="B37" s="54" t="n">
        <v>1154.15</v>
      </c>
      <c r="C37" s="49" t="n">
        <f aca="false">B37/B38-1</f>
        <v>-0.057105510395817</v>
      </c>
    </row>
    <row r="38" customFormat="false" ht="15.75" hidden="false" customHeight="true" outlineLevel="0" collapsed="false">
      <c r="A38" s="50" t="n">
        <v>45139</v>
      </c>
      <c r="B38" s="54" t="n">
        <v>1224.05</v>
      </c>
      <c r="C38" s="49" t="n">
        <f aca="false">B38/B39-1</f>
        <v>0.000940387603238113</v>
      </c>
    </row>
    <row r="39" customFormat="false" ht="15.75" hidden="false" customHeight="true" outlineLevel="0" collapsed="false">
      <c r="A39" s="50" t="n">
        <v>45108</v>
      </c>
      <c r="B39" s="54" t="n">
        <v>1222.9</v>
      </c>
      <c r="C39" s="49" t="n">
        <f aca="false">B39/B40-1</f>
        <v>0.0897538719278548</v>
      </c>
    </row>
    <row r="40" customFormat="false" ht="15.75" hidden="false" customHeight="true" outlineLevel="0" collapsed="false">
      <c r="A40" s="50" t="n">
        <v>45078</v>
      </c>
      <c r="B40" s="54" t="n">
        <v>1122.18</v>
      </c>
      <c r="C40" s="49" t="n">
        <f aca="false">B40/B41-1</f>
        <v>0.0437233181729402</v>
      </c>
    </row>
    <row r="41" customFormat="false" ht="15.75" hidden="false" customHeight="true" outlineLevel="0" collapsed="false">
      <c r="A41" s="50" t="n">
        <v>45047</v>
      </c>
      <c r="B41" s="54" t="n">
        <v>1075.17</v>
      </c>
      <c r="C41" s="49" t="n">
        <f aca="false">B41/B42-1</f>
        <v>0.0248303339942049</v>
      </c>
    </row>
    <row r="42" customFormat="false" ht="15.75" hidden="false" customHeight="true" outlineLevel="0" collapsed="false">
      <c r="A42" s="50" t="n">
        <v>45017</v>
      </c>
      <c r="B42" s="54" t="n">
        <v>1049.12</v>
      </c>
      <c r="C42" s="49" t="n">
        <f aca="false">B42/B43-1</f>
        <v>-0.0145776976254887</v>
      </c>
    </row>
    <row r="43" customFormat="false" ht="15.75" hidden="false" customHeight="true" outlineLevel="0" collapsed="false">
      <c r="A43" s="50" t="n">
        <v>44986</v>
      </c>
      <c r="B43" s="54" t="n">
        <v>1064.64</v>
      </c>
      <c r="C43" s="49" t="n">
        <f aca="false">B43/B44-1</f>
        <v>0.0389975406956318</v>
      </c>
    </row>
    <row r="44" customFormat="false" ht="15.75" hidden="false" customHeight="true" outlineLevel="0" collapsed="false">
      <c r="A44" s="50" t="n">
        <v>44958</v>
      </c>
      <c r="B44" s="54" t="n">
        <v>1024.68</v>
      </c>
      <c r="C44" s="49" t="n">
        <f aca="false">B44/B45-1</f>
        <v>-0.0778451735992368</v>
      </c>
    </row>
    <row r="45" customFormat="false" ht="15.75" hidden="false" customHeight="true" outlineLevel="0" collapsed="false">
      <c r="A45" s="50" t="n">
        <v>44927</v>
      </c>
      <c r="B45" s="54" t="n">
        <v>1111.18</v>
      </c>
      <c r="C45" s="49" t="n">
        <f aca="false">B45/B46-1</f>
        <v>0.103357197469938</v>
      </c>
    </row>
    <row r="46" customFormat="false" ht="15.75" hidden="false" customHeight="true" outlineLevel="0" collapsed="false">
      <c r="A46" s="50" t="n">
        <v>44896</v>
      </c>
      <c r="B46" s="54" t="n">
        <v>1007.09</v>
      </c>
      <c r="C46" s="49" t="n">
        <f aca="false">B46/B47-1</f>
        <v>-0.0394212243184984</v>
      </c>
    </row>
    <row r="47" customFormat="false" ht="15.75" hidden="false" customHeight="true" outlineLevel="0" collapsed="false">
      <c r="A47" s="50" t="n">
        <v>44866</v>
      </c>
      <c r="B47" s="54" t="n">
        <v>1048.42</v>
      </c>
      <c r="C47" s="49" t="n">
        <f aca="false">B47/B48-1</f>
        <v>0.0199233418292897</v>
      </c>
    </row>
    <row r="48" customFormat="false" ht="15.75" hidden="false" customHeight="true" outlineLevel="0" collapsed="false">
      <c r="A48" s="50" t="n">
        <v>44835</v>
      </c>
      <c r="B48" s="54" t="n">
        <v>1027.94</v>
      </c>
      <c r="C48" s="49" t="n">
        <f aca="false">B48/B49-1</f>
        <v>-0.0920140269055126</v>
      </c>
    </row>
    <row r="49" customFormat="false" ht="15.75" hidden="false" customHeight="true" outlineLevel="0" collapsed="false">
      <c r="A49" s="50" t="n">
        <v>44805</v>
      </c>
      <c r="B49" s="54" t="n">
        <v>1132.11</v>
      </c>
      <c r="C49" s="49" t="n">
        <f aca="false">B49/B50-1</f>
        <v>-0.115891324550375</v>
      </c>
    </row>
    <row r="50" customFormat="false" ht="15.75" hidden="false" customHeight="true" outlineLevel="0" collapsed="false">
      <c r="A50" s="50" t="n">
        <v>44774</v>
      </c>
      <c r="B50" s="54" t="n">
        <v>1280.51</v>
      </c>
      <c r="C50" s="49" t="n">
        <f aca="false">B50/B51-1</f>
        <v>0.061492294811536</v>
      </c>
    </row>
    <row r="51" customFormat="false" ht="15.75" hidden="false" customHeight="true" outlineLevel="0" collapsed="false">
      <c r="A51" s="50" t="n">
        <v>44743</v>
      </c>
      <c r="B51" s="54" t="n">
        <v>1206.33</v>
      </c>
      <c r="C51" s="49" t="n">
        <f aca="false">B51/B52-1</f>
        <v>0.00728957915831674</v>
      </c>
    </row>
    <row r="52" customFormat="false" ht="15.75" hidden="false" customHeight="true" outlineLevel="0" collapsed="false">
      <c r="A52" s="50" t="n">
        <v>44713</v>
      </c>
      <c r="B52" s="54" t="n">
        <v>1197.6</v>
      </c>
      <c r="C52" s="49" t="n">
        <f aca="false">B52/B53-1</f>
        <v>-0.0735526193644214</v>
      </c>
    </row>
    <row r="53" customFormat="false" ht="15.75" hidden="false" customHeight="true" outlineLevel="0" collapsed="false">
      <c r="A53" s="50" t="n">
        <v>44682</v>
      </c>
      <c r="B53" s="54" t="n">
        <v>1292.68</v>
      </c>
      <c r="C53" s="49" t="n">
        <f aca="false">B53/B54-1</f>
        <v>-0.0542288557213929</v>
      </c>
    </row>
    <row r="54" customFormat="false" ht="15.75" hidden="false" customHeight="true" outlineLevel="0" collapsed="false">
      <c r="A54" s="50" t="n">
        <v>44652</v>
      </c>
      <c r="B54" s="54" t="n">
        <v>1366.8</v>
      </c>
      <c r="C54" s="49" t="n">
        <f aca="false">B54/B55-1</f>
        <v>-0.0839878830120902</v>
      </c>
    </row>
    <row r="55" customFormat="false" ht="15.75" hidden="false" customHeight="true" outlineLevel="0" collapsed="false">
      <c r="A55" s="50" t="n">
        <v>44621</v>
      </c>
      <c r="B55" s="54" t="n">
        <v>1492.12</v>
      </c>
      <c r="C55" s="49" t="n">
        <f aca="false">B55/B56-1</f>
        <v>0.00133545395368184</v>
      </c>
    </row>
    <row r="56" customFormat="false" ht="15.75" hidden="false" customHeight="true" outlineLevel="0" collapsed="false">
      <c r="A56" s="50" t="n">
        <v>44593</v>
      </c>
      <c r="B56" s="54" t="n">
        <v>1490.13</v>
      </c>
      <c r="C56" s="49" t="n">
        <f aca="false">B56/B57-1</f>
        <v>0.00755260453291506</v>
      </c>
    </row>
    <row r="57" customFormat="false" ht="15.75" hidden="false" customHeight="true" outlineLevel="0" collapsed="false">
      <c r="A57" s="50" t="n">
        <v>44562</v>
      </c>
      <c r="B57" s="54" t="n">
        <v>1478.96</v>
      </c>
      <c r="C57" s="49" t="n">
        <f aca="false">B57/B58-1</f>
        <v>-0.0128947860213043</v>
      </c>
    </row>
    <row r="58" customFormat="false" ht="15.75" hidden="false" customHeight="true" outlineLevel="0" collapsed="false">
      <c r="A58" s="50" t="n">
        <v>44531</v>
      </c>
      <c r="B58" s="54" t="n">
        <v>1498.28</v>
      </c>
      <c r="C58" s="49" t="n">
        <f aca="false">B58/B59-1</f>
        <v>0.0134195503368415</v>
      </c>
    </row>
    <row r="59" customFormat="false" ht="15.75" hidden="false" customHeight="true" outlineLevel="0" collapsed="false">
      <c r="A59" s="50" t="n">
        <v>44501</v>
      </c>
      <c r="B59" s="54" t="n">
        <v>1478.44</v>
      </c>
      <c r="C59" s="49" t="n">
        <f aca="false">B59/B60-1</f>
        <v>0.0236590111267285</v>
      </c>
    </row>
    <row r="60" customFormat="false" ht="15.75" hidden="false" customHeight="true" outlineLevel="0" collapsed="false">
      <c r="A60" s="50" t="n">
        <v>44470</v>
      </c>
      <c r="B60" s="54" t="n">
        <v>1444.27</v>
      </c>
      <c r="C60" s="49" t="n">
        <f aca="false">B60/B61-1</f>
        <v>0.0761590390891616</v>
      </c>
    </row>
    <row r="61" customFormat="false" ht="15.75" hidden="false" customHeight="true" outlineLevel="0" collapsed="false">
      <c r="A61" s="50" t="n">
        <v>44440</v>
      </c>
      <c r="B61" s="54" t="n">
        <v>1342.06</v>
      </c>
      <c r="C61" s="49" t="n">
        <f aca="false">B61/B62-1</f>
        <v>0.00795361517721016</v>
      </c>
    </row>
    <row r="62" customFormat="false" ht="15.75" hidden="false" customHeight="true" outlineLevel="0" collapsed="false">
      <c r="A62" s="50" t="n">
        <v>44409</v>
      </c>
      <c r="B62" s="54" t="n">
        <v>1331.47</v>
      </c>
      <c r="C62" s="49" t="n">
        <f aca="false">B62/B63-1</f>
        <v>0.0163505209724821</v>
      </c>
    </row>
    <row r="63" customFormat="false" ht="15.75" hidden="false" customHeight="true" outlineLevel="0" collapsed="false">
      <c r="A63" s="50" t="n">
        <v>44378</v>
      </c>
      <c r="B63" s="54" t="n">
        <v>1310.05</v>
      </c>
      <c r="C63" s="49" t="n">
        <f aca="false">B63/B64-1</f>
        <v>-0.0699300699300699</v>
      </c>
    </row>
    <row r="64" customFormat="false" ht="15.75" hidden="false" customHeight="true" outlineLevel="0" collapsed="false">
      <c r="A64" s="50" t="n">
        <v>44348</v>
      </c>
      <c r="B64" s="54" t="n">
        <v>1408.55</v>
      </c>
      <c r="C64" s="49" t="n">
        <f aca="false">B64/B65-1</f>
        <v>0.0606151876811867</v>
      </c>
    </row>
    <row r="65" customFormat="false" ht="15.75" hidden="false" customHeight="true" outlineLevel="0" collapsed="false">
      <c r="A65" s="50" t="n">
        <v>44317</v>
      </c>
      <c r="B65" s="54" t="n">
        <v>1328.05</v>
      </c>
      <c r="C65" s="49"/>
    </row>
  </sheetData>
  <mergeCells count="2">
    <mergeCell ref="G6:H6"/>
    <mergeCell ref="G8:H8"/>
  </mergeCells>
  <hyperlinks>
    <hyperlink ref="B1" r:id="rId2" display="VN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9.63"/>
    <col collapsed="false" customWidth="true" hidden="false" outlineLevel="0" max="4" min="4" style="1" width="13.75"/>
    <col collapsed="false" customWidth="true" hidden="false" outlineLevel="0" max="5" min="5" style="1" width="11.5"/>
    <col collapsed="false" customWidth="true" hidden="false" outlineLevel="0" max="8" min="8" style="1" width="14.88"/>
  </cols>
  <sheetData>
    <row r="1" customFormat="false" ht="90" hidden="false" customHeight="true" outlineLevel="0" collapsed="false">
      <c r="A1" s="62" t="s">
        <v>258</v>
      </c>
      <c r="B1" s="62" t="s">
        <v>259</v>
      </c>
      <c r="C1" s="62" t="s">
        <v>243</v>
      </c>
      <c r="D1" s="62" t="s">
        <v>311</v>
      </c>
      <c r="E1" s="63" t="s">
        <v>312</v>
      </c>
      <c r="F1" s="64" t="s">
        <v>313</v>
      </c>
    </row>
    <row r="2" customFormat="false" ht="15.75" hidden="false" customHeight="true" outlineLevel="0" collapsed="false">
      <c r="A2" s="30" t="n">
        <v>1</v>
      </c>
      <c r="B2" s="30" t="n">
        <v>2016</v>
      </c>
      <c r="C2" s="36" t="n">
        <v>42731</v>
      </c>
      <c r="D2" s="38" t="n">
        <v>0.01</v>
      </c>
      <c r="E2" s="38" t="n">
        <v>0.065</v>
      </c>
      <c r="F2" s="38" t="n">
        <v>0.072</v>
      </c>
    </row>
    <row r="3" customFormat="false" ht="15.75" hidden="false" customHeight="true" outlineLevel="0" collapsed="false">
      <c r="A3" s="30" t="n">
        <v>2</v>
      </c>
      <c r="B3" s="30" t="n">
        <v>2017</v>
      </c>
      <c r="C3" s="41" t="n">
        <v>43095</v>
      </c>
      <c r="D3" s="38" t="n">
        <v>0.01</v>
      </c>
      <c r="E3" s="38" t="n">
        <v>0.065</v>
      </c>
      <c r="F3" s="38" t="n">
        <v>0.073</v>
      </c>
      <c r="H3" s="4" t="s">
        <v>314</v>
      </c>
    </row>
    <row r="4" customFormat="false" ht="15.75" hidden="false" customHeight="true" outlineLevel="0" collapsed="false">
      <c r="A4" s="30" t="n">
        <v>3</v>
      </c>
      <c r="B4" s="30" t="n">
        <v>2018</v>
      </c>
      <c r="C4" s="41" t="n">
        <v>43462</v>
      </c>
      <c r="D4" s="38" t="n">
        <v>0.01</v>
      </c>
      <c r="E4" s="38" t="n">
        <v>0.065</v>
      </c>
      <c r="F4" s="38" t="n">
        <v>0.073</v>
      </c>
      <c r="H4" s="31" t="s">
        <v>248</v>
      </c>
      <c r="I4" s="38" t="n">
        <f aca="false">STDEV(F2:F12)</f>
        <v>0.00630007214965901</v>
      </c>
    </row>
    <row r="5" customFormat="false" ht="15.75" hidden="false" customHeight="true" outlineLevel="0" collapsed="false">
      <c r="A5" s="30" t="n">
        <v>4</v>
      </c>
      <c r="B5" s="30" t="n">
        <v>2019</v>
      </c>
      <c r="C5" s="41" t="n">
        <v>43830</v>
      </c>
      <c r="D5" s="38" t="n">
        <v>0.008</v>
      </c>
      <c r="E5" s="38" t="n">
        <v>0.07</v>
      </c>
      <c r="F5" s="38" t="n">
        <v>0.075</v>
      </c>
      <c r="H5" s="31" t="s">
        <v>249</v>
      </c>
      <c r="I5" s="38" t="n">
        <f aca="false">AVERAGE(F2:F12)</f>
        <v>0.0709090909090909</v>
      </c>
    </row>
    <row r="6" customFormat="false" ht="15.75" hidden="false" customHeight="true" outlineLevel="0" collapsed="false">
      <c r="A6" s="30" t="n">
        <v>5</v>
      </c>
      <c r="B6" s="30" t="n">
        <v>2020</v>
      </c>
      <c r="C6" s="41" t="n">
        <v>44196</v>
      </c>
      <c r="D6" s="38" t="n">
        <v>0.002</v>
      </c>
      <c r="E6" s="38" t="n">
        <v>0.06</v>
      </c>
      <c r="F6" s="38" t="n">
        <v>0.068</v>
      </c>
      <c r="H6" s="4" t="s">
        <v>315</v>
      </c>
    </row>
    <row r="7" customFormat="false" ht="15.75" hidden="false" customHeight="true" outlineLevel="0" collapsed="false">
      <c r="A7" s="30" t="n">
        <v>6</v>
      </c>
      <c r="B7" s="30" t="n">
        <v>2021</v>
      </c>
      <c r="C7" s="41" t="n">
        <v>44561</v>
      </c>
      <c r="D7" s="38" t="n">
        <v>0.002</v>
      </c>
      <c r="E7" s="38" t="n">
        <v>0.057</v>
      </c>
      <c r="F7" s="38" t="n">
        <v>0.065</v>
      </c>
      <c r="H7" s="4" t="s">
        <v>316</v>
      </c>
      <c r="I7" s="34" t="n">
        <f aca="false">STDEV(E2:E12)</f>
        <v>0.00816088230524127</v>
      </c>
    </row>
    <row r="8" customFormat="false" ht="15.75" hidden="false" customHeight="true" outlineLevel="0" collapsed="false">
      <c r="A8" s="30" t="n">
        <v>7</v>
      </c>
      <c r="B8" s="30" t="n">
        <v>2022</v>
      </c>
      <c r="C8" s="41" t="n">
        <v>44925</v>
      </c>
      <c r="D8" s="38" t="n">
        <v>0.006</v>
      </c>
      <c r="E8" s="38" t="n">
        <v>0.076</v>
      </c>
      <c r="F8" s="38" t="n">
        <v>0.074</v>
      </c>
      <c r="H8" s="4" t="s">
        <v>317</v>
      </c>
      <c r="I8" s="34" t="n">
        <f aca="false">AVERAGE(E2:E12)</f>
        <v>0.065</v>
      </c>
    </row>
    <row r="9" customFormat="false" ht="15.75" hidden="false" customHeight="true" outlineLevel="0" collapsed="false">
      <c r="A9" s="30" t="n">
        <v>8</v>
      </c>
      <c r="B9" s="30" t="n">
        <v>2023</v>
      </c>
      <c r="C9" s="41" t="n">
        <v>45289</v>
      </c>
      <c r="D9" s="38" t="n">
        <v>0.002</v>
      </c>
      <c r="E9" s="38" t="n">
        <v>0.066</v>
      </c>
      <c r="F9" s="38" t="n">
        <v>0.081</v>
      </c>
    </row>
    <row r="10" customFormat="false" ht="15.75" hidden="false" customHeight="true" outlineLevel="0" collapsed="false">
      <c r="A10" s="30" t="n">
        <v>9</v>
      </c>
      <c r="B10" s="30" t="n">
        <v>2024</v>
      </c>
      <c r="C10" s="41" t="n">
        <v>45657</v>
      </c>
      <c r="D10" s="38" t="n">
        <v>0.002</v>
      </c>
      <c r="E10" s="38" t="n">
        <v>0.052</v>
      </c>
      <c r="F10" s="38" t="n">
        <v>0.059</v>
      </c>
      <c r="H10" s="3" t="s">
        <v>318</v>
      </c>
    </row>
    <row r="11" customFormat="false" ht="15.75" hidden="false" customHeight="true" outlineLevel="0" collapsed="false">
      <c r="A11" s="30" t="n">
        <v>10</v>
      </c>
      <c r="B11" s="30" t="n">
        <v>2025</v>
      </c>
      <c r="C11" s="41" t="n">
        <v>46022</v>
      </c>
      <c r="D11" s="38" t="n">
        <v>0.002</v>
      </c>
      <c r="E11" s="38" t="n">
        <v>0.059</v>
      </c>
      <c r="F11" s="38" t="n">
        <v>0.064</v>
      </c>
      <c r="H11" s="3" t="s">
        <v>319</v>
      </c>
    </row>
    <row r="12" customFormat="false" ht="15.75" hidden="false" customHeight="true" outlineLevel="0" collapsed="false">
      <c r="A12" s="30" t="n">
        <v>11</v>
      </c>
      <c r="B12" s="30" t="n">
        <v>2026</v>
      </c>
      <c r="C12" s="41" t="n">
        <v>46290</v>
      </c>
      <c r="D12" s="38" t="n">
        <v>0.002</v>
      </c>
      <c r="E12" s="38" t="n">
        <v>0.08</v>
      </c>
      <c r="F12" s="38" t="n">
        <v>0.076</v>
      </c>
      <c r="H12" s="3" t="s">
        <v>320</v>
      </c>
    </row>
    <row r="13" customFormat="false" ht="15.75" hidden="false" customHeight="true" outlineLevel="0" collapsed="false">
      <c r="H13" s="3" t="s">
        <v>321</v>
      </c>
    </row>
    <row r="48" customFormat="false" ht="15.75" hidden="false" customHeight="true" outlineLevel="0" collapsed="false">
      <c r="A48" s="33" t="s">
        <v>322</v>
      </c>
    </row>
  </sheetData>
  <hyperlinks>
    <hyperlink ref="A48" r:id="rId1" display="Biểu đồ (chart) lãi suất tiết kiệm (lãi suất tiền gửi/huy động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1" width="14.88"/>
  </cols>
  <sheetData>
    <row r="1" customFormat="false" ht="15.75" hidden="false" customHeight="true" outlineLevel="0" collapsed="false">
      <c r="A1" s="31" t="s">
        <v>323</v>
      </c>
      <c r="B1" s="31" t="s">
        <v>297</v>
      </c>
      <c r="D1" s="65" t="s">
        <v>324</v>
      </c>
      <c r="G1" s="4" t="s">
        <v>325</v>
      </c>
    </row>
    <row r="2" customFormat="false" ht="15.75" hidden="false" customHeight="true" outlineLevel="0" collapsed="false">
      <c r="A2" s="30" t="n">
        <v>2010</v>
      </c>
      <c r="B2" s="66" t="n">
        <v>1580400</v>
      </c>
      <c r="E2" s="30"/>
      <c r="G2" s="4" t="s">
        <v>326</v>
      </c>
      <c r="H2" s="34" t="n">
        <f aca="false">AVERAGE(D7:D12)</f>
        <v>0.0556200758575756</v>
      </c>
    </row>
    <row r="3" customFormat="false" ht="15.75" hidden="false" customHeight="true" outlineLevel="0" collapsed="false">
      <c r="A3" s="30" t="n">
        <v>2012</v>
      </c>
      <c r="B3" s="66" t="n">
        <v>2350600</v>
      </c>
      <c r="C3" s="38" t="n">
        <f aca="false">B3/B2 -1</f>
        <v>0.487344975955454</v>
      </c>
      <c r="D3" s="40" t="n">
        <f aca="false">(B3/B2)^(1/(A3-A2))-1</f>
        <v>0.21956753644702</v>
      </c>
      <c r="E3" s="30"/>
      <c r="G3" s="4" t="s">
        <v>327</v>
      </c>
      <c r="H3" s="34" t="n">
        <f aca="false">STDEV(D7:D12)</f>
        <v>0.0571094009842994</v>
      </c>
    </row>
    <row r="4" customFormat="false" ht="15.75" hidden="false" customHeight="true" outlineLevel="0" collapsed="false">
      <c r="A4" s="30" t="n">
        <v>2014</v>
      </c>
      <c r="B4" s="66" t="n">
        <v>3264900</v>
      </c>
      <c r="C4" s="38" t="n">
        <f aca="false">B4/B3 -1</f>
        <v>0.388964519697099</v>
      </c>
      <c r="D4" s="40" t="n">
        <f aca="false">(B4/B3)^(1/(A4-A3))-1</f>
        <v>0.178543388975178</v>
      </c>
      <c r="E4" s="30"/>
      <c r="G4" s="4" t="s">
        <v>328</v>
      </c>
      <c r="H4" s="34" t="n">
        <f aca="false">AVERAGE(D3:D12)</f>
        <v>0.0931315725133933</v>
      </c>
    </row>
    <row r="5" customFormat="false" ht="15.75" hidden="false" customHeight="true" outlineLevel="0" collapsed="false">
      <c r="A5" s="30" t="n">
        <v>2016</v>
      </c>
      <c r="B5" s="66" t="n">
        <v>3883300</v>
      </c>
      <c r="C5" s="38" t="n">
        <f aca="false">B5/B4 -1</f>
        <v>0.189408557689363</v>
      </c>
      <c r="D5" s="40" t="n">
        <f aca="false">(B5/B4)^(1/(A5-A4))-1</f>
        <v>0.0906000906333002</v>
      </c>
      <c r="E5" s="30"/>
      <c r="G5" s="4" t="s">
        <v>329</v>
      </c>
      <c r="H5" s="34" t="n">
        <f aca="false">STDEV(D3:D12)</f>
        <v>0.0732468273348769</v>
      </c>
    </row>
    <row r="6" customFormat="false" ht="15.75" hidden="false" customHeight="true" outlineLevel="0" collapsed="false">
      <c r="A6" s="30" t="n">
        <v>2018</v>
      </c>
      <c r="B6" s="66" t="n">
        <v>4775000</v>
      </c>
      <c r="C6" s="38" t="n">
        <f aca="false">B6/B5 -1</f>
        <v>0.229624288620503</v>
      </c>
      <c r="D6" s="40" t="n">
        <f aca="false">(B6/B5)^(1/(A6-A5))-1</f>
        <v>0.108884253932981</v>
      </c>
      <c r="E6" s="30"/>
      <c r="G6" s="4" t="s">
        <v>330</v>
      </c>
      <c r="H6" s="34" t="n">
        <f aca="false">(B12/B2)^(1/(A12-A2))-1</f>
        <v>0.106989862704313</v>
      </c>
    </row>
    <row r="7" customFormat="false" ht="15.75" hidden="false" customHeight="true" outlineLevel="0" collapsed="false">
      <c r="A7" s="30" t="n">
        <v>2019</v>
      </c>
      <c r="B7" s="66" t="n">
        <v>5190700</v>
      </c>
      <c r="C7" s="38" t="n">
        <f aca="false">B7/B6 -1</f>
        <v>0.0870575916230367</v>
      </c>
      <c r="D7" s="40" t="n">
        <f aca="false">(B7/B6)^(1/(A7-A6))-1</f>
        <v>0.0870575916230367</v>
      </c>
      <c r="E7" s="30" t="s">
        <v>331</v>
      </c>
    </row>
    <row r="8" customFormat="false" ht="15.75" hidden="false" customHeight="true" outlineLevel="0" collapsed="false">
      <c r="A8" s="30" t="n">
        <v>2020</v>
      </c>
      <c r="B8" s="66" t="n">
        <v>5084100</v>
      </c>
      <c r="C8" s="38" t="n">
        <f aca="false">B8/B7 -1</f>
        <v>-0.020536729150211</v>
      </c>
      <c r="D8" s="40" t="n">
        <f aca="false">(B8/B7)^(1/(A8-A7))-1</f>
        <v>-0.020536729150211</v>
      </c>
      <c r="E8" s="51" t="n">
        <f aca="false">STDEV(C3:C12)</f>
        <v>0.165625365262458</v>
      </c>
      <c r="G8" s="3" t="s">
        <v>332</v>
      </c>
    </row>
    <row r="9" customFormat="false" ht="15.75" hidden="false" customHeight="true" outlineLevel="0" collapsed="false">
      <c r="A9" s="30" t="n">
        <v>2021</v>
      </c>
      <c r="B9" s="66" t="n">
        <v>5026000</v>
      </c>
      <c r="C9" s="38" t="n">
        <f aca="false">B9/B8 -1</f>
        <v>-0.0114277846619854</v>
      </c>
      <c r="D9" s="40" t="n">
        <f aca="false">(B9/B8)^(1/(A9-A8))-1</f>
        <v>-0.0114277846619854</v>
      </c>
      <c r="E9" s="52" t="n">
        <f aca="false">AVERAGE(C3:C12)</f>
        <v>0.162906279710787</v>
      </c>
      <c r="G9" s="3" t="s">
        <v>333</v>
      </c>
    </row>
    <row r="10" customFormat="false" ht="15.75" hidden="false" customHeight="true" outlineLevel="0" collapsed="false">
      <c r="A10" s="30" t="n">
        <v>2022</v>
      </c>
      <c r="B10" s="66" t="n">
        <v>5586500</v>
      </c>
      <c r="C10" s="38" t="n">
        <f aca="false">B10/B9 -1</f>
        <v>0.111520095503382</v>
      </c>
      <c r="D10" s="40" t="n">
        <f aca="false">(B10/B9)^(1/(A10-A9))-1</f>
        <v>0.111520095503382</v>
      </c>
      <c r="G10" s="3" t="s">
        <v>334</v>
      </c>
    </row>
    <row r="11" customFormat="false" ht="15.75" hidden="false" customHeight="true" outlineLevel="0" collapsed="false">
      <c r="A11" s="30" t="n">
        <v>2023</v>
      </c>
      <c r="B11" s="66" t="n">
        <v>5980600</v>
      </c>
      <c r="C11" s="38" t="n">
        <f aca="false">B11/B10 -1</f>
        <v>0.0705450639935559</v>
      </c>
      <c r="D11" s="40" t="n">
        <f aca="false">(B11/B10)^(1/(A11-A10))-1</f>
        <v>0.0705450639935559</v>
      </c>
      <c r="G11" s="3" t="s">
        <v>335</v>
      </c>
    </row>
    <row r="12" customFormat="false" ht="15.75" hidden="false" customHeight="true" outlineLevel="0" collapsed="false">
      <c r="A12" s="30" t="n">
        <v>2024</v>
      </c>
      <c r="B12" s="66" t="n">
        <v>6558100</v>
      </c>
      <c r="C12" s="38" t="n">
        <f aca="false">B12/B11 -1</f>
        <v>0.0965622178376751</v>
      </c>
      <c r="D12" s="40" t="n">
        <f aca="false">(B12/B11)^(1/(A12-A11))-1</f>
        <v>0.0965622178376751</v>
      </c>
    </row>
    <row r="14" customFormat="false" ht="15.75" hidden="false" customHeight="true" outlineLevel="0" collapsed="false">
      <c r="A14" s="33" t="s">
        <v>336</v>
      </c>
    </row>
  </sheetData>
  <hyperlinks>
    <hyperlink ref="A14" r:id="rId2" display="https://www.nso.gov.vn/wp-content/uploads/2026/03/Sach-Khao-sat-muc-song-dan-cu-2024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25"/>
  </cols>
  <sheetData>
    <row r="1" customFormat="false" ht="15.75" hidden="false" customHeight="true" outlineLevel="0" collapsed="false">
      <c r="A1" s="31" t="s">
        <v>323</v>
      </c>
      <c r="B1" s="31" t="n">
        <v>2016</v>
      </c>
      <c r="C1" s="31" t="n">
        <v>2017</v>
      </c>
      <c r="D1" s="31" t="n">
        <v>2018</v>
      </c>
      <c r="E1" s="31" t="n">
        <v>2019</v>
      </c>
      <c r="F1" s="31" t="n">
        <v>2020</v>
      </c>
      <c r="G1" s="31" t="n">
        <v>2021</v>
      </c>
      <c r="H1" s="31" t="n">
        <v>2022</v>
      </c>
      <c r="I1" s="31" t="n">
        <v>2023</v>
      </c>
      <c r="J1" s="31" t="n">
        <v>2024</v>
      </c>
      <c r="K1" s="31" t="n">
        <v>2025</v>
      </c>
    </row>
    <row r="2" customFormat="false" ht="15.75" hidden="false" customHeight="true" outlineLevel="0" collapsed="false">
      <c r="A2" s="67" t="s">
        <v>337</v>
      </c>
      <c r="B2" s="30" t="n">
        <v>1300</v>
      </c>
      <c r="C2" s="30" t="n">
        <v>1200</v>
      </c>
      <c r="D2" s="30" t="n">
        <v>1250</v>
      </c>
      <c r="E2" s="30" t="n">
        <v>1400</v>
      </c>
      <c r="F2" s="30" t="n">
        <v>1500</v>
      </c>
      <c r="G2" s="30" t="n">
        <v>1900</v>
      </c>
      <c r="H2" s="30" t="n">
        <v>1900</v>
      </c>
      <c r="I2" s="30" t="n">
        <v>2200</v>
      </c>
      <c r="J2" s="30" t="n">
        <v>3000</v>
      </c>
      <c r="K2" s="30" t="n">
        <v>3800</v>
      </c>
    </row>
    <row r="3" customFormat="false" ht="15.75" hidden="false" customHeight="true" outlineLevel="0" collapsed="false">
      <c r="A3" s="31" t="s">
        <v>338</v>
      </c>
      <c r="B3" s="38" t="n">
        <f aca="false">(K2/B2)^(1/9) -1</f>
        <v>0.126574786343073</v>
      </c>
      <c r="C3" s="30"/>
      <c r="D3" s="30"/>
      <c r="E3" s="30"/>
      <c r="F3" s="30"/>
      <c r="G3" s="30"/>
      <c r="H3" s="30"/>
      <c r="I3" s="30"/>
      <c r="J3" s="30"/>
      <c r="K3" s="30"/>
    </row>
    <row r="4" customFormat="false" ht="15.75" hidden="false" customHeight="true" outlineLevel="0" collapsed="false">
      <c r="A4" s="31" t="s">
        <v>339</v>
      </c>
      <c r="B4" s="38" t="n">
        <f aca="false">(F2/B2)^(1/4) -1</f>
        <v>0.0364228437559397</v>
      </c>
      <c r="C4" s="30"/>
      <c r="D4" s="30"/>
      <c r="E4" s="30"/>
      <c r="F4" s="30"/>
      <c r="G4" s="30"/>
      <c r="H4" s="30"/>
      <c r="I4" s="30"/>
      <c r="J4" s="30"/>
      <c r="K4" s="30"/>
    </row>
    <row r="5" customFormat="false" ht="15.75" hidden="false" customHeight="true" outlineLevel="0" collapsed="false">
      <c r="A5" s="31" t="s">
        <v>340</v>
      </c>
      <c r="B5" s="38" t="n">
        <f aca="false">(K2/F2)^(1/5)-1</f>
        <v>0.204310485211984</v>
      </c>
      <c r="C5" s="30"/>
      <c r="D5" s="30"/>
      <c r="E5" s="30"/>
      <c r="F5" s="30"/>
      <c r="G5" s="30"/>
      <c r="H5" s="30"/>
      <c r="I5" s="30"/>
      <c r="J5" s="30"/>
      <c r="K5" s="30"/>
    </row>
    <row r="6" customFormat="false" ht="15.75" hidden="false" customHeight="true" outlineLevel="0" collapsed="false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customFormat="false" ht="15.75" hidden="false" customHeight="true" outlineLevel="0" collapsed="false">
      <c r="A7" s="33" t="s">
        <v>341</v>
      </c>
    </row>
    <row r="8" customFormat="false" ht="15.75" hidden="false" customHeight="true" outlineLevel="0" collapsed="false">
      <c r="A8" s="33" t="s">
        <v>342</v>
      </c>
    </row>
    <row r="10" customFormat="false" ht="15.75" hidden="false" customHeight="true" outlineLevel="0" collapsed="false">
      <c r="A10" s="4" t="s">
        <v>343</v>
      </c>
      <c r="C10" s="34" t="n">
        <f aca="false">C2/B2-1</f>
        <v>-0.0769230769230769</v>
      </c>
      <c r="D10" s="34" t="n">
        <f aca="false">D2/C2-1</f>
        <v>0.0416666666666667</v>
      </c>
      <c r="E10" s="34" t="n">
        <f aca="false">E2/D2-1</f>
        <v>0.12</v>
      </c>
      <c r="F10" s="34" t="n">
        <f aca="false">F2/E2-1</f>
        <v>0.0714285714285714</v>
      </c>
      <c r="G10" s="34" t="n">
        <f aca="false">G2/F2-1</f>
        <v>0.266666666666667</v>
      </c>
      <c r="H10" s="34" t="n">
        <f aca="false">H2/G2-1</f>
        <v>0</v>
      </c>
      <c r="I10" s="34" t="n">
        <f aca="false">I2/H2-1</f>
        <v>0.157894736842105</v>
      </c>
      <c r="J10" s="34" t="n">
        <f aca="false">J2/I2-1</f>
        <v>0.363636363636364</v>
      </c>
      <c r="K10" s="34" t="n">
        <f aca="false">K2/J2-1</f>
        <v>0.266666666666667</v>
      </c>
    </row>
    <row r="11" customFormat="false" ht="15.75" hidden="false" customHeight="true" outlineLevel="0" collapsed="false">
      <c r="A11" s="4" t="s">
        <v>344</v>
      </c>
      <c r="B11" s="34" t="n">
        <f aca="false">STDEV(C10:K10)</f>
        <v>0.142996092932078</v>
      </c>
    </row>
    <row r="13" customFormat="false" ht="15.75" hidden="false" customHeight="true" outlineLevel="0" collapsed="false">
      <c r="A13" s="3" t="s">
        <v>345</v>
      </c>
    </row>
    <row r="14" customFormat="false" ht="15.75" hidden="false" customHeight="true" outlineLevel="0" collapsed="false">
      <c r="A14" s="3" t="s">
        <v>346</v>
      </c>
    </row>
    <row r="15" customFormat="false" ht="15.75" hidden="false" customHeight="true" outlineLevel="0" collapsed="false">
      <c r="A15" s="3" t="s">
        <v>347</v>
      </c>
    </row>
  </sheetData>
  <hyperlinks>
    <hyperlink ref="A7" r:id="rId1" display="https://cafef.vn/nhin-lai-10-nam-bds-ha-noi-gia-can-ho-tang-gan-300-thi-truong-chuan-bi-da-cuc-hoa-18826042315173533.chn"/>
    <hyperlink ref="A8" r:id="rId2" display="https://cloud.comm.cushmanwakefield.com/Hanoi_realestate_market_review?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1.38"/>
    <col collapsed="false" customWidth="true" hidden="false" outlineLevel="0" max="2" min="2" style="1" width="30.75"/>
    <col collapsed="false" customWidth="true" hidden="false" outlineLevel="0" max="3" min="3" style="1" width="15.13"/>
    <col collapsed="false" customWidth="true" hidden="false" outlineLevel="0" max="4" min="4" style="1" width="26.25"/>
    <col collapsed="false" customWidth="true" hidden="false" outlineLevel="0" max="7" min="7" style="1" width="19.25"/>
  </cols>
  <sheetData>
    <row r="1" customFormat="false" ht="17.25" hidden="false" customHeight="true" outlineLevel="0" collapsed="false">
      <c r="A1" s="68" t="s">
        <v>348</v>
      </c>
      <c r="B1" s="68" t="s">
        <v>349</v>
      </c>
      <c r="C1" s="69" t="s">
        <v>350</v>
      </c>
      <c r="D1" s="68" t="s">
        <v>351</v>
      </c>
      <c r="E1" s="4" t="s">
        <v>352</v>
      </c>
    </row>
    <row r="2" customFormat="false" ht="17.25" hidden="false" customHeight="true" outlineLevel="0" collapsed="false">
      <c r="A2" s="70" t="s">
        <v>353</v>
      </c>
      <c r="B2" s="71" t="s">
        <v>354</v>
      </c>
      <c r="C2" s="72" t="n">
        <v>1</v>
      </c>
      <c r="D2" s="73"/>
      <c r="E2" s="3" t="s">
        <v>355</v>
      </c>
    </row>
    <row r="3" customFormat="false" ht="17.25" hidden="false" customHeight="true" outlineLevel="0" collapsed="false">
      <c r="A3" s="70" t="s">
        <v>353</v>
      </c>
      <c r="B3" s="71" t="s">
        <v>356</v>
      </c>
      <c r="C3" s="72" t="n">
        <v>0.7</v>
      </c>
      <c r="D3" s="73" t="s">
        <v>357</v>
      </c>
      <c r="E3" s="3" t="s">
        <v>358</v>
      </c>
      <c r="G3" s="74" t="s">
        <v>359</v>
      </c>
      <c r="H3" s="75" t="n">
        <v>1</v>
      </c>
    </row>
    <row r="4" customFormat="false" ht="17.25" hidden="false" customHeight="true" outlineLevel="0" collapsed="false">
      <c r="A4" s="70" t="s">
        <v>353</v>
      </c>
      <c r="B4" s="71" t="s">
        <v>360</v>
      </c>
      <c r="C4" s="72" t="n">
        <v>1</v>
      </c>
      <c r="D4" s="73" t="s">
        <v>361</v>
      </c>
      <c r="E4" s="3" t="s">
        <v>362</v>
      </c>
      <c r="G4" s="76" t="s">
        <v>363</v>
      </c>
      <c r="H4" s="75" t="n">
        <v>0.8</v>
      </c>
    </row>
    <row r="5" customFormat="false" ht="17.25" hidden="false" customHeight="true" outlineLevel="0" collapsed="false">
      <c r="A5" s="70" t="s">
        <v>364</v>
      </c>
      <c r="B5" s="71" t="s">
        <v>365</v>
      </c>
      <c r="C5" s="72" t="n">
        <v>1</v>
      </c>
      <c r="D5" s="73" t="s">
        <v>361</v>
      </c>
      <c r="G5" s="77" t="s">
        <v>366</v>
      </c>
      <c r="H5" s="75" t="n">
        <v>0.7</v>
      </c>
    </row>
    <row r="6" customFormat="false" ht="32.25" hidden="false" customHeight="true" outlineLevel="0" collapsed="false">
      <c r="A6" s="70" t="s">
        <v>367</v>
      </c>
      <c r="B6" s="71" t="s">
        <v>368</v>
      </c>
      <c r="C6" s="78"/>
      <c r="D6" s="73" t="s">
        <v>357</v>
      </c>
      <c r="E6" s="3" t="s">
        <v>369</v>
      </c>
    </row>
    <row r="7" customFormat="false" ht="63.75" hidden="false" customHeight="true" outlineLevel="0" collapsed="false">
      <c r="A7" s="70" t="s">
        <v>370</v>
      </c>
      <c r="B7" s="71" t="s">
        <v>371</v>
      </c>
      <c r="C7" s="72" t="n">
        <v>1</v>
      </c>
      <c r="D7" s="73" t="s">
        <v>372</v>
      </c>
    </row>
    <row r="8" customFormat="false" ht="32.25" hidden="false" customHeight="true" outlineLevel="0" collapsed="false">
      <c r="A8" s="70" t="s">
        <v>373</v>
      </c>
      <c r="B8" s="79" t="s">
        <v>374</v>
      </c>
      <c r="C8" s="72" t="n">
        <v>0.8</v>
      </c>
      <c r="D8" s="73" t="s">
        <v>372</v>
      </c>
      <c r="E8" s="3" t="s">
        <v>375</v>
      </c>
    </row>
    <row r="9" customFormat="false" ht="15.75" hidden="false" customHeight="true" outlineLevel="0" collapsed="false">
      <c r="A9" s="80" t="s">
        <v>376</v>
      </c>
      <c r="B9" s="80" t="s">
        <v>377</v>
      </c>
      <c r="C9" s="80" t="n">
        <v>0.8</v>
      </c>
      <c r="D9" s="80" t="s">
        <v>378</v>
      </c>
      <c r="E9" s="3" t="s">
        <v>379</v>
      </c>
    </row>
    <row r="10" customFormat="false" ht="15.75" hidden="false" customHeight="true" outlineLevel="0" collapsed="false">
      <c r="A10" s="81"/>
      <c r="B10" s="81"/>
      <c r="C10" s="81"/>
      <c r="D10" s="81"/>
    </row>
    <row r="11" customFormat="false" ht="15.75" hidden="false" customHeight="true" outlineLevel="0" collapsed="false">
      <c r="A11" s="81"/>
      <c r="B11" s="81"/>
      <c r="C11" s="81"/>
      <c r="D11" s="81"/>
    </row>
    <row r="12" customFormat="false" ht="15.75" hidden="false" customHeight="true" outlineLevel="0" collapsed="false">
      <c r="A12" s="81"/>
      <c r="B12" s="81"/>
      <c r="C12" s="81"/>
      <c r="D12" s="81"/>
    </row>
    <row r="13" customFormat="false" ht="15.75" hidden="false" customHeight="true" outlineLevel="0" collapsed="false">
      <c r="A13" s="81"/>
      <c r="B13" s="81"/>
      <c r="C13" s="81"/>
      <c r="D13" s="81"/>
    </row>
  </sheetData>
  <hyperlinks>
    <hyperlink ref="A2" r:id="rId1" location="dataIndex=0" display="VCB"/>
    <hyperlink ref="A3" r:id="rId2" location="dataIndex=0" display="VCB"/>
    <hyperlink ref="A4" r:id="rId3" location="dataIndex=0" display="VCB"/>
    <hyperlink ref="A5" r:id="rId4" display="BIDV"/>
    <hyperlink ref="A6" r:id="rId5" display="Agribank"/>
    <hyperlink ref="A7" r:id="rId6" display="Vietinbank"/>
    <hyperlink ref="A8" r:id="rId7" display="MB BA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30" t="s">
        <v>380</v>
      </c>
      <c r="B1" s="30" t="s">
        <v>381</v>
      </c>
      <c r="C1" s="30" t="s">
        <v>382</v>
      </c>
      <c r="D1" s="30" t="s">
        <v>116</v>
      </c>
      <c r="E1" s="4" t="s">
        <v>383</v>
      </c>
      <c r="F1" s="4" t="s">
        <v>352</v>
      </c>
    </row>
    <row r="2" customFormat="false" ht="15.75" hidden="false" customHeight="true" outlineLevel="0" collapsed="false">
      <c r="A2" s="30" t="s">
        <v>384</v>
      </c>
      <c r="B2" s="30" t="s">
        <v>364</v>
      </c>
      <c r="C2" s="82" t="n">
        <v>0.1</v>
      </c>
      <c r="D2" s="83" t="s">
        <v>385</v>
      </c>
      <c r="E2" s="39" t="s">
        <v>386</v>
      </c>
      <c r="F2" s="3" t="s">
        <v>387</v>
      </c>
    </row>
    <row r="3" customFormat="false" ht="15.75" hidden="false" customHeight="true" outlineLevel="0" collapsed="false">
      <c r="A3" s="30"/>
      <c r="B3" s="30" t="s">
        <v>353</v>
      </c>
      <c r="C3" s="84" t="n">
        <v>0.052</v>
      </c>
      <c r="D3" s="83" t="s">
        <v>385</v>
      </c>
      <c r="E3" s="39" t="s">
        <v>386</v>
      </c>
      <c r="F3" s="3" t="s">
        <v>388</v>
      </c>
    </row>
    <row r="4" customFormat="false" ht="15.75" hidden="false" customHeight="true" outlineLevel="0" collapsed="false">
      <c r="A4" s="30"/>
      <c r="B4" s="30" t="s">
        <v>389</v>
      </c>
      <c r="C4" s="84" t="n">
        <v>0.0852</v>
      </c>
      <c r="D4" s="83" t="s">
        <v>385</v>
      </c>
      <c r="E4" s="39" t="s">
        <v>386</v>
      </c>
      <c r="F4" s="3" t="s">
        <v>390</v>
      </c>
    </row>
    <row r="5" customFormat="false" ht="15.75" hidden="false" customHeight="true" outlineLevel="0" collapsed="false">
      <c r="A5" s="30" t="s">
        <v>391</v>
      </c>
      <c r="B5" s="30" t="s">
        <v>364</v>
      </c>
      <c r="C5" s="30"/>
      <c r="D5" s="30" t="s">
        <v>385</v>
      </c>
      <c r="E5" s="30"/>
    </row>
    <row r="6" customFormat="false" ht="15.75" hidden="false" customHeight="true" outlineLevel="0" collapsed="false">
      <c r="A6" s="30"/>
      <c r="B6" s="30" t="s">
        <v>353</v>
      </c>
      <c r="C6" s="30"/>
      <c r="D6" s="30" t="s">
        <v>385</v>
      </c>
      <c r="E6" s="30"/>
    </row>
    <row r="7" customFormat="false" ht="15.75" hidden="false" customHeight="true" outlineLevel="0" collapsed="false">
      <c r="A7" s="30"/>
      <c r="B7" s="30" t="s">
        <v>389</v>
      </c>
      <c r="C7" s="30"/>
      <c r="D7" s="30" t="s">
        <v>385</v>
      </c>
      <c r="E7" s="30"/>
    </row>
    <row r="8" customFormat="false" ht="15.75" hidden="false" customHeight="true" outlineLevel="0" collapsed="false">
      <c r="A8" s="30"/>
      <c r="B8" s="30"/>
      <c r="C8" s="30"/>
      <c r="D8" s="30" t="s">
        <v>385</v>
      </c>
      <c r="E8" s="30"/>
    </row>
    <row r="10" customFormat="false" ht="15.75" hidden="false" customHeight="true" outlineLevel="0" collapsed="false">
      <c r="A10" s="8" t="s">
        <v>384</v>
      </c>
      <c r="B10" s="8" t="s">
        <v>392</v>
      </c>
      <c r="C10" s="7" t="n">
        <v>0.077</v>
      </c>
      <c r="D10" s="8" t="s">
        <v>393</v>
      </c>
      <c r="E10" s="8" t="s">
        <v>394</v>
      </c>
    </row>
    <row r="11" customFormat="false" ht="15.75" hidden="false" customHeight="true" outlineLevel="0" collapsed="false">
      <c r="A11" s="8" t="s">
        <v>384</v>
      </c>
      <c r="B11" s="8" t="s">
        <v>392</v>
      </c>
      <c r="C11" s="7" t="n">
        <v>0.083</v>
      </c>
      <c r="D11" s="8" t="s">
        <v>393</v>
      </c>
      <c r="E11" s="8" t="s">
        <v>395</v>
      </c>
    </row>
    <row r="12" customFormat="false" ht="15.75" hidden="false" customHeight="true" outlineLevel="0" collapsed="false">
      <c r="A12" s="8" t="s">
        <v>384</v>
      </c>
      <c r="B12" s="8" t="s">
        <v>392</v>
      </c>
      <c r="C12" s="7" t="n">
        <v>0.085</v>
      </c>
      <c r="D12" s="8" t="s">
        <v>393</v>
      </c>
      <c r="E12" s="8" t="s">
        <v>396</v>
      </c>
    </row>
    <row r="13" customFormat="false" ht="15.75" hidden="false" customHeight="true" outlineLevel="0" collapsed="false">
      <c r="A13" s="8" t="s">
        <v>384</v>
      </c>
      <c r="B13" s="8" t="s">
        <v>392</v>
      </c>
      <c r="C13" s="7" t="n">
        <v>0.09</v>
      </c>
      <c r="D13" s="8" t="s">
        <v>393</v>
      </c>
      <c r="E13" s="8" t="s">
        <v>397</v>
      </c>
    </row>
    <row r="15" customFormat="false" ht="15.75" hidden="false" customHeight="true" outlineLevel="0" collapsed="false">
      <c r="A15" s="4" t="s">
        <v>398</v>
      </c>
      <c r="B15" s="3" t="s">
        <v>399</v>
      </c>
    </row>
    <row r="17" customFormat="false" ht="15.75" hidden="false" customHeight="true" outlineLevel="0" collapsed="false">
      <c r="A17" s="3" t="s">
        <v>400</v>
      </c>
    </row>
  </sheetData>
  <hyperlinks>
    <hyperlink ref="D2" r:id="rId1" display="Link"/>
    <hyperlink ref="D3" r:id="rId2" location="dataIndex=0" display="Link"/>
    <hyperlink ref="D4" r:id="rId3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8"/>
    <col collapsed="false" customWidth="true" hidden="false" outlineLevel="0" max="5" min="5" style="1" width="60"/>
    <col collapsed="false" customWidth="true" hidden="false" outlineLevel="0" max="6" min="6" style="1" width="70"/>
  </cols>
  <sheetData>
    <row r="1" customFormat="false" ht="15" hidden="false" customHeight="true" outlineLevel="0" collapsed="false">
      <c r="A1" s="4" t="s">
        <v>401</v>
      </c>
      <c r="B1" s="4" t="s">
        <v>402</v>
      </c>
      <c r="C1" s="4" t="s">
        <v>403</v>
      </c>
      <c r="D1" s="4" t="s">
        <v>404</v>
      </c>
      <c r="E1" s="4" t="s">
        <v>405</v>
      </c>
      <c r="F1" s="4" t="s">
        <v>406</v>
      </c>
    </row>
    <row r="2" customFormat="false" ht="15" hidden="false" customHeight="true" outlineLevel="0" collapsed="false">
      <c r="A2" s="4" t="s">
        <v>407</v>
      </c>
      <c r="B2" s="7" t="n">
        <v>0.105</v>
      </c>
      <c r="C2" s="34" t="n">
        <f aca="false">B2+$B$7</f>
        <v>0.12</v>
      </c>
      <c r="D2" s="34" t="n">
        <f aca="false">B2+$B$8</f>
        <v>0.14</v>
      </c>
      <c r="E2" s="3" t="s">
        <v>408</v>
      </c>
      <c r="F2" s="3" t="s">
        <v>409</v>
      </c>
    </row>
    <row r="3" customFormat="false" ht="15" hidden="false" customHeight="true" outlineLevel="0" collapsed="false">
      <c r="A3" s="5" t="s">
        <v>410</v>
      </c>
      <c r="B3" s="7" t="n">
        <v>0.075</v>
      </c>
      <c r="C3" s="34" t="n">
        <f aca="false">B3+$B$7</f>
        <v>0.09</v>
      </c>
      <c r="D3" s="34" t="n">
        <f aca="false">B3+$B$8</f>
        <v>0.11</v>
      </c>
      <c r="E3" s="3" t="s">
        <v>411</v>
      </c>
      <c r="F3" s="3" t="s">
        <v>412</v>
      </c>
    </row>
    <row r="4" customFormat="false" ht="15" hidden="false" customHeight="true" outlineLevel="0" collapsed="false">
      <c r="A4" s="5" t="s">
        <v>413</v>
      </c>
      <c r="B4" s="7" t="n">
        <v>0.0696</v>
      </c>
      <c r="C4" s="34" t="n">
        <f aca="false">B4+$B$7</f>
        <v>0.0846</v>
      </c>
      <c r="D4" s="34" t="n">
        <f aca="false">B4+$B$8</f>
        <v>0.1046</v>
      </c>
      <c r="E4" s="3" t="s">
        <v>414</v>
      </c>
      <c r="F4" s="3" t="s">
        <v>415</v>
      </c>
    </row>
    <row r="7" customFormat="false" ht="15" hidden="false" customHeight="true" outlineLevel="0" collapsed="false">
      <c r="A7" s="4" t="s">
        <v>416</v>
      </c>
      <c r="B7" s="7" t="n">
        <v>0.015</v>
      </c>
    </row>
    <row r="8" customFormat="false" ht="15" hidden="false" customHeight="true" outlineLevel="0" collapsed="false">
      <c r="A8" s="4" t="s">
        <v>417</v>
      </c>
      <c r="B8" s="7" t="n">
        <v>0.035</v>
      </c>
    </row>
    <row r="9" customFormat="false" ht="15" hidden="false" customHeight="true" outlineLevel="0" collapsed="false">
      <c r="A9" s="4" t="s">
        <v>418</v>
      </c>
      <c r="B9" s="5" t="s">
        <v>419</v>
      </c>
    </row>
    <row r="11" customFormat="false" ht="15" hidden="false" customHeight="true" outlineLevel="0" collapsed="false">
      <c r="A11" s="3" t="s">
        <v>420</v>
      </c>
    </row>
    <row r="12" customFormat="false" ht="15" hidden="false" customHeight="true" outlineLevel="0" collapsed="false">
      <c r="A12" s="3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85" t="s">
        <v>422</v>
      </c>
    </row>
    <row r="2" customFormat="false" ht="15" hidden="false" customHeight="false" outlineLevel="0" collapsed="false">
      <c r="A2" s="86" t="s">
        <v>423</v>
      </c>
    </row>
    <row r="3" customFormat="false" ht="15" hidden="false" customHeight="false" outlineLevel="0" collapsed="false">
      <c r="A3" s="87" t="s">
        <v>424</v>
      </c>
      <c r="B3" s="87" t="n">
        <f aca="false">COUNTIF(F6:F53,"LỆCH")+COUNTIF(F58:F70,"LỆCH")</f>
        <v>0</v>
      </c>
    </row>
    <row r="4" customFormat="false" ht="15" hidden="false" customHeight="false" outlineLevel="0" collapsed="false">
      <c r="A4" s="86" t="s">
        <v>425</v>
      </c>
    </row>
    <row r="5" customFormat="false" ht="15" hidden="false" customHeight="false" outlineLevel="0" collapsed="false">
      <c r="A5" s="15" t="s">
        <v>426</v>
      </c>
      <c r="B5" s="15" t="s">
        <v>427</v>
      </c>
      <c r="C5" s="15" t="s">
        <v>428</v>
      </c>
      <c r="D5" s="15" t="s">
        <v>429</v>
      </c>
      <c r="E5" s="15" t="s">
        <v>430</v>
      </c>
      <c r="F5" s="15" t="s">
        <v>431</v>
      </c>
      <c r="G5" s="15" t="s">
        <v>432</v>
      </c>
    </row>
    <row r="6" customFormat="false" ht="15" hidden="false" customHeight="false" outlineLevel="0" collapsed="false">
      <c r="A6" s="88" t="s">
        <v>8</v>
      </c>
      <c r="B6" s="88" t="s">
        <v>433</v>
      </c>
      <c r="C6" s="89" t="n">
        <f aca="false">FIN_ASSUMPTIONS_tong_hop!B5*100</f>
        <v>7.7</v>
      </c>
      <c r="D6" s="90" t="n">
        <v>7.7</v>
      </c>
      <c r="E6" s="91" t="n">
        <v>0.0001</v>
      </c>
      <c r="F6" s="88" t="str">
        <f aca="false">IF(ABS(C6-D6)&lt;=E6,"KHỚP","LỆCH")</f>
        <v>KHỚP</v>
      </c>
      <c r="G6" s="88" t="s">
        <v>434</v>
      </c>
    </row>
    <row r="7" customFormat="false" ht="15" hidden="false" customHeight="false" outlineLevel="0" collapsed="false">
      <c r="A7" s="88" t="s">
        <v>11</v>
      </c>
      <c r="B7" s="88" t="s">
        <v>433</v>
      </c>
      <c r="C7" s="89" t="n">
        <f aca="false">FIN_ASSUMPTIONS_tong_hop!B6*100</f>
        <v>8.3</v>
      </c>
      <c r="D7" s="90" t="n">
        <v>8.3</v>
      </c>
      <c r="E7" s="91" t="n">
        <v>0.0001</v>
      </c>
      <c r="F7" s="88" t="str">
        <f aca="false">IF(ABS(C7-D7)&lt;=E7,"KHỚP","LỆCH")</f>
        <v>KHỚP</v>
      </c>
      <c r="G7" s="88" t="s">
        <v>435</v>
      </c>
    </row>
    <row r="8" customFormat="false" ht="15" hidden="false" customHeight="false" outlineLevel="0" collapsed="false">
      <c r="A8" s="88" t="s">
        <v>13</v>
      </c>
      <c r="B8" s="88" t="s">
        <v>433</v>
      </c>
      <c r="C8" s="89" t="n">
        <f aca="false">FIN_ASSUMPTIONS_tong_hop!B7*100</f>
        <v>8.5</v>
      </c>
      <c r="D8" s="90" t="n">
        <v>8.5</v>
      </c>
      <c r="E8" s="91" t="n">
        <v>0.0001</v>
      </c>
      <c r="F8" s="88" t="str">
        <f aca="false">IF(ABS(C8-D8)&lt;=E8,"KHỚP","LỆCH")</f>
        <v>KHỚP</v>
      </c>
      <c r="G8" s="88" t="s">
        <v>436</v>
      </c>
    </row>
    <row r="9" customFormat="false" ht="15" hidden="false" customHeight="false" outlineLevel="0" collapsed="false">
      <c r="A9" s="88" t="s">
        <v>14</v>
      </c>
      <c r="B9" s="88" t="s">
        <v>433</v>
      </c>
      <c r="C9" s="89" t="n">
        <f aca="false">FIN_ASSUMPTIONS_tong_hop!B8*100</f>
        <v>9</v>
      </c>
      <c r="D9" s="90" t="n">
        <v>9</v>
      </c>
      <c r="E9" s="91" t="n">
        <v>0.0001</v>
      </c>
      <c r="F9" s="88" t="str">
        <f aca="false">IF(ABS(C9-D9)&lt;=E9,"KHỚP","LỆCH")</f>
        <v>KHỚP</v>
      </c>
      <c r="G9" s="88" t="s">
        <v>437</v>
      </c>
    </row>
    <row r="10" customFormat="false" ht="15" hidden="false" customHeight="false" outlineLevel="0" collapsed="false">
      <c r="A10" s="88" t="s">
        <v>18</v>
      </c>
      <c r="B10" s="88" t="s">
        <v>433</v>
      </c>
      <c r="C10" s="89" t="n">
        <f aca="false">FIN_ASSUMPTIONS_tong_hop!B11*100</f>
        <v>10.5</v>
      </c>
      <c r="D10" s="90" t="n">
        <v>10.5</v>
      </c>
      <c r="E10" s="91" t="n">
        <v>0.0001</v>
      </c>
      <c r="F10" s="88" t="str">
        <f aca="false">IF(ABS(C10-D10)&lt;=E10,"KHỚP","LỆCH")</f>
        <v>KHỚP</v>
      </c>
      <c r="G10" s="88" t="s">
        <v>438</v>
      </c>
    </row>
    <row r="11" customFormat="false" ht="15" hidden="false" customHeight="false" outlineLevel="0" collapsed="false">
      <c r="A11" s="88" t="s">
        <v>15</v>
      </c>
      <c r="B11" s="88" t="s">
        <v>433</v>
      </c>
      <c r="C11" s="89" t="n">
        <f aca="false">FIN_ASSUMPTIONS_tong_hop!B9*100</f>
        <v>1.5</v>
      </c>
      <c r="D11" s="90" t="n">
        <v>1.5</v>
      </c>
      <c r="E11" s="91" t="n">
        <v>0.0001</v>
      </c>
      <c r="F11" s="88" t="str">
        <f aca="false">IF(ABS(C11-D11)&lt;=E11,"KHỚP","LỆCH")</f>
        <v>KHỚP</v>
      </c>
      <c r="G11" s="88" t="s">
        <v>439</v>
      </c>
    </row>
    <row r="12" customFormat="false" ht="15" hidden="false" customHeight="false" outlineLevel="0" collapsed="false">
      <c r="A12" s="88" t="s">
        <v>17</v>
      </c>
      <c r="B12" s="88" t="s">
        <v>433</v>
      </c>
      <c r="C12" s="89" t="n">
        <f aca="false">FIN_ASSUMPTIONS_tong_hop!B10*100</f>
        <v>3.5</v>
      </c>
      <c r="D12" s="90" t="n">
        <v>3.5</v>
      </c>
      <c r="E12" s="91" t="n">
        <v>0.0001</v>
      </c>
      <c r="F12" s="88" t="str">
        <f aca="false">IF(ABS(C12-D12)&lt;=E12,"KHỚP","LỆCH")</f>
        <v>KHỚP</v>
      </c>
      <c r="G12" s="88" t="s">
        <v>440</v>
      </c>
    </row>
    <row r="13" customFormat="false" ht="15" hidden="false" customHeight="false" outlineLevel="0" collapsed="false">
      <c r="A13" s="88" t="s">
        <v>23</v>
      </c>
      <c r="B13" s="88" t="s">
        <v>441</v>
      </c>
      <c r="C13" s="89" t="n">
        <f aca="false">FIN_ASSUMPTIONS_tong_hop!B13</f>
        <v>24</v>
      </c>
      <c r="D13" s="90" t="n">
        <v>24</v>
      </c>
      <c r="E13" s="91" t="n">
        <v>0</v>
      </c>
      <c r="F13" s="88" t="str">
        <f aca="false">IF(ABS(C13-D13)&lt;=E13,"KHỚP","LỆCH")</f>
        <v>KHỚP</v>
      </c>
      <c r="G13" s="88" t="s">
        <v>442</v>
      </c>
    </row>
    <row r="14" customFormat="false" ht="15" hidden="false" customHeight="false" outlineLevel="0" collapsed="false">
      <c r="A14" s="88" t="s">
        <v>443</v>
      </c>
      <c r="B14" s="88" t="s">
        <v>433</v>
      </c>
      <c r="C14" s="89" t="n">
        <f aca="false">Kich_ban_do_nhay!C6*100</f>
        <v>80</v>
      </c>
      <c r="D14" s="90" t="n">
        <v>80</v>
      </c>
      <c r="E14" s="91" t="n">
        <v>0.0001</v>
      </c>
      <c r="F14" s="88" t="str">
        <f aca="false">IF(ABS(C14-D14)&lt;=E14,"KHỚP","LỆCH")</f>
        <v>KHỚP</v>
      </c>
      <c r="G14" s="88" t="s">
        <v>444</v>
      </c>
    </row>
    <row r="15" customFormat="false" ht="15" hidden="false" customHeight="false" outlineLevel="0" collapsed="false">
      <c r="A15" s="88" t="s">
        <v>445</v>
      </c>
      <c r="B15" s="88" t="s">
        <v>446</v>
      </c>
      <c r="C15" s="89" t="n">
        <f aca="false">FIN_ASSUMPTIONS_tong_hop!B17</f>
        <v>70</v>
      </c>
      <c r="D15" s="90" t="n">
        <v>70</v>
      </c>
      <c r="E15" s="91" t="n">
        <v>0</v>
      </c>
      <c r="F15" s="88" t="str">
        <f aca="false">IF(ABS(C15-D15)&lt;=E15,"KHỚP","LỆCH")</f>
        <v>KHỚP</v>
      </c>
      <c r="G15" s="88" t="s">
        <v>447</v>
      </c>
    </row>
    <row r="16" customFormat="false" ht="15" hidden="false" customHeight="false" outlineLevel="0" collapsed="false">
      <c r="A16" s="88" t="s">
        <v>448</v>
      </c>
      <c r="B16" s="88" t="s">
        <v>441</v>
      </c>
      <c r="C16" s="89" t="n">
        <f aca="false">FIN_ASSUMPTIONS_tong_hop!B16</f>
        <v>360</v>
      </c>
      <c r="D16" s="90" t="n">
        <v>360</v>
      </c>
      <c r="E16" s="91" t="n">
        <v>0</v>
      </c>
      <c r="F16" s="88" t="str">
        <f aca="false">IF(ABS(C16-D16)&lt;=E16,"KHỚP","LỆCH")</f>
        <v>KHỚP</v>
      </c>
      <c r="G16" s="88" t="s">
        <v>449</v>
      </c>
    </row>
    <row r="17" customFormat="false" ht="15" hidden="false" customHeight="false" outlineLevel="0" collapsed="false">
      <c r="A17" s="88" t="s">
        <v>33</v>
      </c>
      <c r="B17" s="88" t="s">
        <v>433</v>
      </c>
      <c r="C17" s="89" t="n">
        <f aca="false">FIN_ASSUMPTIONS_tong_hop!B18*100</f>
        <v>2.6</v>
      </c>
      <c r="D17" s="90" t="n">
        <v>2.6</v>
      </c>
      <c r="E17" s="91" t="n">
        <v>0.0001</v>
      </c>
      <c r="F17" s="88" t="str">
        <f aca="false">IF(ABS(C17-D17)&lt;=E17,"KHỚP","LỆCH")</f>
        <v>KHỚP</v>
      </c>
      <c r="G17" s="88" t="s">
        <v>450</v>
      </c>
    </row>
    <row r="18" customFormat="false" ht="15" hidden="false" customHeight="false" outlineLevel="0" collapsed="false">
      <c r="A18" s="88" t="s">
        <v>451</v>
      </c>
      <c r="B18" s="88" t="s">
        <v>433</v>
      </c>
      <c r="C18" s="89" t="n">
        <f aca="false">FIN_ASSUMPTIONS_tong_hop!B23*100</f>
        <v>6.5</v>
      </c>
      <c r="D18" s="90" t="n">
        <v>6.5</v>
      </c>
      <c r="E18" s="91" t="n">
        <v>0.0051</v>
      </c>
      <c r="F18" s="88" t="str">
        <f aca="false">IF(ABS(C18-D18)&lt;=E18,"KHỚP","LỆCH")</f>
        <v>KHỚP</v>
      </c>
      <c r="G18" s="88" t="s">
        <v>452</v>
      </c>
    </row>
    <row r="19" customFormat="false" ht="15" hidden="false" customHeight="false" outlineLevel="0" collapsed="false">
      <c r="A19" s="88" t="s">
        <v>453</v>
      </c>
      <c r="B19" s="88" t="s">
        <v>433</v>
      </c>
      <c r="C19" s="89" t="n">
        <f aca="false">FIN_ASSUMPTIONS_tong_hop!B25*100</f>
        <v>4.02181818181818</v>
      </c>
      <c r="D19" s="90" t="n">
        <v>4.02</v>
      </c>
      <c r="E19" s="91" t="n">
        <v>0.0051</v>
      </c>
      <c r="F19" s="88" t="str">
        <f aca="false">IF(ABS(C19-D19)&lt;=E19,"KHỚP","LỆCH")</f>
        <v>KHỚP</v>
      </c>
      <c r="G19" s="88" t="s">
        <v>454</v>
      </c>
    </row>
    <row r="20" customFormat="false" ht="15" hidden="false" customHeight="false" outlineLevel="0" collapsed="false">
      <c r="A20" s="88" t="s">
        <v>455</v>
      </c>
      <c r="B20" s="88" t="s">
        <v>433</v>
      </c>
      <c r="C20" s="89" t="n">
        <f aca="false">FIN_ASSUMPTIONS_tong_hop!B26*100</f>
        <v>11.1150461640479</v>
      </c>
      <c r="D20" s="90" t="n">
        <v>11.12</v>
      </c>
      <c r="E20" s="91" t="n">
        <v>0.0051</v>
      </c>
      <c r="F20" s="88" t="str">
        <f aca="false">IF(ABS(C20-D20)&lt;=E20,"KHỚP","LỆCH")</f>
        <v>KHỚP</v>
      </c>
      <c r="G20" s="88" t="s">
        <v>456</v>
      </c>
    </row>
    <row r="21" customFormat="false" ht="15" hidden="false" customHeight="false" outlineLevel="0" collapsed="false">
      <c r="A21" s="88" t="s">
        <v>457</v>
      </c>
      <c r="B21" s="88" t="s">
        <v>433</v>
      </c>
      <c r="C21" s="89" t="n">
        <f aca="false">FIN_ASSUMPTIONS_tong_hop!B24*100</f>
        <v>7.99044828956891</v>
      </c>
      <c r="D21" s="90" t="n">
        <v>7.99</v>
      </c>
      <c r="E21" s="91" t="n">
        <v>0.0051</v>
      </c>
      <c r="F21" s="88" t="str">
        <f aca="false">IF(ABS(C21-D21)&lt;=E21,"KHỚP","LỆCH")</f>
        <v>KHỚP</v>
      </c>
      <c r="G21" s="88" t="s">
        <v>458</v>
      </c>
    </row>
    <row r="22" customFormat="false" ht="15" hidden="false" customHeight="false" outlineLevel="0" collapsed="false">
      <c r="A22" s="88" t="s">
        <v>459</v>
      </c>
      <c r="B22" s="88" t="s">
        <v>433</v>
      </c>
      <c r="C22" s="89" t="n">
        <f aca="false">Kich_ban_do_nhay!C7*100</f>
        <v>20.4310485211984</v>
      </c>
      <c r="D22" s="90" t="n">
        <v>20.43</v>
      </c>
      <c r="E22" s="91" t="n">
        <v>0.0051</v>
      </c>
      <c r="F22" s="88" t="str">
        <f aca="false">IF(ABS(C22-D22)&lt;=E22,"KHỚP","LỆCH")</f>
        <v>KHỚP</v>
      </c>
      <c r="G22" s="88" t="s">
        <v>460</v>
      </c>
    </row>
    <row r="23" customFormat="false" ht="15" hidden="false" customHeight="false" outlineLevel="0" collapsed="false">
      <c r="A23" s="88" t="s">
        <v>461</v>
      </c>
      <c r="B23" s="88" t="s">
        <v>433</v>
      </c>
      <c r="C23" s="89" t="n">
        <f aca="false">Kich_ban_do_nhay!C8*100</f>
        <v>8.3817405358</v>
      </c>
      <c r="D23" s="90" t="n">
        <v>8.38</v>
      </c>
      <c r="E23" s="91" t="n">
        <v>0.0051</v>
      </c>
      <c r="F23" s="88" t="str">
        <f aca="false">IF(ABS(C23-D23)&lt;=E23,"KHỚP","LỆCH")</f>
        <v>KHỚP</v>
      </c>
      <c r="G23" s="88" t="s">
        <v>462</v>
      </c>
    </row>
    <row r="24" customFormat="false" ht="15" hidden="false" customHeight="false" outlineLevel="0" collapsed="false">
      <c r="A24" s="88" t="s">
        <v>463</v>
      </c>
      <c r="B24" s="88" t="s">
        <v>464</v>
      </c>
      <c r="C24" s="89" t="n">
        <f aca="false">Kich_ban_do_nhay!C9</f>
        <v>3.24</v>
      </c>
      <c r="D24" s="90" t="n">
        <v>3.24</v>
      </c>
      <c r="E24" s="91" t="n">
        <v>0.0001</v>
      </c>
      <c r="F24" s="88" t="str">
        <f aca="false">IF(ABS(C24-D24)&lt;=E24,"KHỚP","LỆCH")</f>
        <v>KHỚP</v>
      </c>
      <c r="G24" s="88" t="s">
        <v>465</v>
      </c>
    </row>
    <row r="25" customFormat="false" ht="15" hidden="false" customHeight="false" outlineLevel="0" collapsed="false">
      <c r="A25" s="88" t="s">
        <v>44</v>
      </c>
      <c r="B25" s="88" t="s">
        <v>433</v>
      </c>
      <c r="C25" s="89" t="n">
        <f aca="false">FIN_ASSUMPTIONS_tong_hop!B21*100</f>
        <v>5.56200758575756</v>
      </c>
      <c r="D25" s="90" t="n">
        <v>5.56</v>
      </c>
      <c r="E25" s="91" t="n">
        <v>0.0051</v>
      </c>
      <c r="F25" s="88" t="str">
        <f aca="false">IF(ABS(C25-D25)&lt;=E25,"KHỚP","LỆCH")</f>
        <v>KHỚP</v>
      </c>
      <c r="G25" s="88" t="s">
        <v>466</v>
      </c>
    </row>
    <row r="26" customFormat="false" ht="15" hidden="false" customHeight="false" outlineLevel="0" collapsed="false">
      <c r="A26" s="88" t="s">
        <v>467</v>
      </c>
      <c r="B26" s="88" t="s">
        <v>433</v>
      </c>
      <c r="C26" s="89" t="n">
        <f aca="false">FIN_ASSUMPTIONS_tong_hop!B22*100</f>
        <v>3.0920092915</v>
      </c>
      <c r="D26" s="90" t="n">
        <v>3.09</v>
      </c>
      <c r="E26" s="91" t="n">
        <v>0.0051</v>
      </c>
      <c r="F26" s="88" t="str">
        <f aca="false">IF(ABS(C26-D26)&lt;=E26,"KHỚP","LỆCH")</f>
        <v>KHỚP</v>
      </c>
      <c r="G26" s="88" t="s">
        <v>468</v>
      </c>
    </row>
    <row r="27" customFormat="false" ht="15" hidden="false" customHeight="false" outlineLevel="0" collapsed="false">
      <c r="A27" s="88" t="s">
        <v>40</v>
      </c>
      <c r="B27" s="88" t="s">
        <v>433</v>
      </c>
      <c r="C27" s="89" t="n">
        <f aca="false">Kich_ban_do_nhay!C10*100</f>
        <v>6</v>
      </c>
      <c r="D27" s="90" t="n">
        <v>6</v>
      </c>
      <c r="E27" s="91" t="n">
        <v>0.0001</v>
      </c>
      <c r="F27" s="88" t="str">
        <f aca="false">IF(ABS(C27-D27)&lt;=E27,"KHỚP","LỆCH")</f>
        <v>KHỚP</v>
      </c>
      <c r="G27" s="88" t="s">
        <v>469</v>
      </c>
    </row>
    <row r="28" customFormat="false" ht="15" hidden="false" customHeight="false" outlineLevel="0" collapsed="false">
      <c r="A28" s="88" t="s">
        <v>470</v>
      </c>
      <c r="B28" s="88" t="s">
        <v>471</v>
      </c>
      <c r="C28" s="89" t="n">
        <f aca="false">FIN_ASSUMPTIONS_tong_hop!B36</f>
        <v>10000</v>
      </c>
      <c r="D28" s="90" t="n">
        <v>10000</v>
      </c>
      <c r="E28" s="91" t="n">
        <v>0</v>
      </c>
      <c r="F28" s="88" t="str">
        <f aca="false">IF(ABS(C28-D28)&lt;=E28,"KHỚP","LỆCH")</f>
        <v>KHỚP</v>
      </c>
      <c r="G28" s="88" t="s">
        <v>472</v>
      </c>
    </row>
    <row r="29" customFormat="false" ht="15" hidden="false" customHeight="false" outlineLevel="0" collapsed="false">
      <c r="A29" s="88" t="s">
        <v>473</v>
      </c>
      <c r="B29" s="88" t="s">
        <v>433</v>
      </c>
      <c r="C29" s="89" t="n">
        <f aca="false">FIN_ASSUMPTIONS_tong_hop!B37*100</f>
        <v>0</v>
      </c>
      <c r="D29" s="90" t="n">
        <v>0</v>
      </c>
      <c r="E29" s="91" t="n">
        <v>0.0001</v>
      </c>
      <c r="F29" s="88" t="str">
        <f aca="false">IF(ABS(C29-D29)&lt;=E29,"KHỚP","LỆCH")</f>
        <v>KHỚP</v>
      </c>
      <c r="G29" s="88" t="s">
        <v>474</v>
      </c>
    </row>
    <row r="30" customFormat="false" ht="15" hidden="false" customHeight="false" outlineLevel="0" collapsed="false">
      <c r="A30" s="88" t="s">
        <v>475</v>
      </c>
      <c r="B30" s="88" t="s">
        <v>433</v>
      </c>
      <c r="C30" s="89" t="n">
        <f aca="false">FIN_ASSUMPTIONS_tong_hop!B38*100</f>
        <v>0.05</v>
      </c>
      <c r="D30" s="90" t="n">
        <v>0.05</v>
      </c>
      <c r="E30" s="91" t="n">
        <v>0.0001</v>
      </c>
      <c r="F30" s="88" t="str">
        <f aca="false">IF(ABS(C30-D30)&lt;=E30,"KHỚP","LỆCH")</f>
        <v>KHỚP</v>
      </c>
      <c r="G30" s="88" t="s">
        <v>476</v>
      </c>
    </row>
    <row r="31" customFormat="false" ht="15" hidden="false" customHeight="false" outlineLevel="0" collapsed="false">
      <c r="A31" s="88" t="s">
        <v>477</v>
      </c>
      <c r="B31" s="88" t="s">
        <v>433</v>
      </c>
      <c r="C31" s="89" t="n">
        <f aca="false">FIN_ASSUMPTIONS_tong_hop!B39*100</f>
        <v>1.5</v>
      </c>
      <c r="D31" s="90" t="n">
        <v>1.5</v>
      </c>
      <c r="E31" s="91" t="n">
        <v>0.0001</v>
      </c>
      <c r="F31" s="88" t="str">
        <f aca="false">IF(ABS(C31-D31)&lt;=E31,"KHỚP","LỆCH")</f>
        <v>KHỚP</v>
      </c>
      <c r="G31" s="88" t="s">
        <v>478</v>
      </c>
    </row>
    <row r="32" customFormat="false" ht="15" hidden="false" customHeight="false" outlineLevel="0" collapsed="false">
      <c r="A32" s="88" t="s">
        <v>479</v>
      </c>
      <c r="B32" s="88" t="s">
        <v>480</v>
      </c>
      <c r="C32" s="89" t="n">
        <f aca="false">FIN_ASSUMPTIONS_tong_hop!B41</f>
        <v>0</v>
      </c>
      <c r="D32" s="90" t="n">
        <v>0</v>
      </c>
      <c r="E32" s="91" t="n">
        <v>0.0001</v>
      </c>
      <c r="F32" s="88" t="str">
        <f aca="false">IF(ABS(C32-D32)&lt;=E32,"KHỚP","LỆCH")</f>
        <v>KHỚP</v>
      </c>
      <c r="G32" s="88" t="s">
        <v>481</v>
      </c>
    </row>
    <row r="33" customFormat="false" ht="15" hidden="false" customHeight="false" outlineLevel="0" collapsed="false">
      <c r="A33" s="88" t="s">
        <v>482</v>
      </c>
      <c r="B33" s="88" t="s">
        <v>483</v>
      </c>
      <c r="C33" s="89" t="n">
        <f aca="false">FIN_ASSUMPTIONS_tong_hop!C11*100</f>
        <v>0.75</v>
      </c>
      <c r="D33" s="90" t="n">
        <v>0.75</v>
      </c>
      <c r="E33" s="91" t="n">
        <v>0.0001</v>
      </c>
      <c r="F33" s="88" t="str">
        <f aca="false">IF(ABS(C33-D33)&lt;=E33,"KHỚP","LỆCH")</f>
        <v>KHỚP</v>
      </c>
      <c r="G33" s="88" t="s">
        <v>484</v>
      </c>
    </row>
    <row r="34" customFormat="false" ht="15" hidden="false" customHeight="false" outlineLevel="0" collapsed="false">
      <c r="A34" s="88" t="s">
        <v>485</v>
      </c>
      <c r="B34" s="88" t="s">
        <v>483</v>
      </c>
      <c r="C34" s="89" t="n">
        <f aca="false">FIN_ASSUMPTIONS_tong_hop!C19*100</f>
        <v>4</v>
      </c>
      <c r="D34" s="90" t="n">
        <v>4</v>
      </c>
      <c r="E34" s="91" t="n">
        <v>0.0001</v>
      </c>
      <c r="F34" s="88" t="str">
        <f aca="false">IF(ABS(C34-D34)&lt;=E34,"KHỚP","LỆCH")</f>
        <v>KHỚP</v>
      </c>
      <c r="G34" s="88" t="s">
        <v>486</v>
      </c>
    </row>
    <row r="35" customFormat="false" ht="15" hidden="false" customHeight="false" outlineLevel="0" collapsed="false">
      <c r="A35" s="88" t="s">
        <v>487</v>
      </c>
      <c r="B35" s="88" t="s">
        <v>483</v>
      </c>
      <c r="C35" s="89" t="n">
        <f aca="false">FIN_ASSUMPTIONS_tong_hop!C20*100</f>
        <v>1.25</v>
      </c>
      <c r="D35" s="90" t="n">
        <v>1.25</v>
      </c>
      <c r="E35" s="91" t="n">
        <v>0.0001</v>
      </c>
      <c r="F35" s="88" t="str">
        <f aca="false">IF(ABS(C35-D35)&lt;=E35,"KHỚP","LỆCH")</f>
        <v>KHỚP</v>
      </c>
      <c r="G35" s="88" t="s">
        <v>488</v>
      </c>
    </row>
    <row r="36" customFormat="false" ht="15" hidden="false" customHeight="false" outlineLevel="0" collapsed="false">
      <c r="A36" s="88" t="s">
        <v>489</v>
      </c>
      <c r="B36" s="88" t="s">
        <v>483</v>
      </c>
      <c r="C36" s="89" t="n">
        <f aca="false">FIN_ASSUMPTIONS_tong_hop!C21*100</f>
        <v>5.71094009842994</v>
      </c>
      <c r="D36" s="90" t="n">
        <v>5.71</v>
      </c>
      <c r="E36" s="91" t="n">
        <v>0.0051</v>
      </c>
      <c r="F36" s="88" t="str">
        <f aca="false">IF(ABS(C36-D36)&lt;=E36,"KHỚP","LỆCH")</f>
        <v>KHỚP</v>
      </c>
      <c r="G36" s="88" t="s">
        <v>490</v>
      </c>
    </row>
    <row r="37" customFormat="false" ht="15" hidden="false" customHeight="false" outlineLevel="0" collapsed="false">
      <c r="A37" s="88" t="s">
        <v>491</v>
      </c>
      <c r="B37" s="88" t="s">
        <v>483</v>
      </c>
      <c r="C37" s="89" t="n">
        <f aca="false">FIN_ASSUMPTIONS_tong_hop!C23*100</f>
        <v>0.816088230524127</v>
      </c>
      <c r="D37" s="90" t="n">
        <v>0.82</v>
      </c>
      <c r="E37" s="91" t="n">
        <v>0.0051</v>
      </c>
      <c r="F37" s="88" t="str">
        <f aca="false">IF(ABS(C37-D37)&lt;=E37,"KHỚP","LỆCH")</f>
        <v>KHỚP</v>
      </c>
      <c r="G37" s="88" t="s">
        <v>492</v>
      </c>
    </row>
    <row r="38" customFormat="false" ht="15" hidden="false" customHeight="false" outlineLevel="0" collapsed="false">
      <c r="A38" s="88" t="s">
        <v>493</v>
      </c>
      <c r="B38" s="88" t="s">
        <v>483</v>
      </c>
      <c r="C38" s="89" t="n">
        <f aca="false">FIN_ASSUMPTIONS_tong_hop!C25*100</f>
        <v>1.36507009477036</v>
      </c>
      <c r="D38" s="90" t="n">
        <v>1.37</v>
      </c>
      <c r="E38" s="91" t="n">
        <v>0.0051</v>
      </c>
      <c r="F38" s="88" t="str">
        <f aca="false">IF(ABS(C38-D38)&lt;=E38,"KHỚP","LỆCH")</f>
        <v>KHỚP</v>
      </c>
      <c r="G38" s="88" t="s">
        <v>494</v>
      </c>
    </row>
    <row r="39" customFormat="false" ht="15" hidden="false" customHeight="false" outlineLevel="0" collapsed="false">
      <c r="A39" s="88" t="s">
        <v>495</v>
      </c>
      <c r="B39" s="88" t="s">
        <v>483</v>
      </c>
      <c r="C39" s="89" t="n">
        <f aca="false">FIN_ASSUMPTIONS_tong_hop!C26*100</f>
        <v>14.1258744990806</v>
      </c>
      <c r="D39" s="90" t="n">
        <v>14.13</v>
      </c>
      <c r="E39" s="91" t="n">
        <v>0.0051</v>
      </c>
      <c r="F39" s="88" t="str">
        <f aca="false">IF(ABS(C39-D39)&lt;=E39,"KHỚP","LỆCH")</f>
        <v>KHỚP</v>
      </c>
      <c r="G39" s="88" t="s">
        <v>496</v>
      </c>
    </row>
    <row r="40" customFormat="false" ht="15" hidden="false" customHeight="false" outlineLevel="0" collapsed="false">
      <c r="A40" s="88" t="s">
        <v>497</v>
      </c>
      <c r="B40" s="88" t="s">
        <v>483</v>
      </c>
      <c r="C40" s="89" t="n">
        <f aca="false">FIN_ASSUMPTIONS_tong_hop!C24*100</f>
        <v>19.2971930811575</v>
      </c>
      <c r="D40" s="90" t="n">
        <v>19.3</v>
      </c>
      <c r="E40" s="91" t="n">
        <v>0.0051</v>
      </c>
      <c r="F40" s="88" t="str">
        <f aca="false">IF(ABS(C40-D40)&lt;=E40,"KHỚP","LỆCH")</f>
        <v>KHỚP</v>
      </c>
      <c r="G40" s="88" t="s">
        <v>498</v>
      </c>
    </row>
    <row r="41" customFormat="false" ht="15" hidden="false" customHeight="false" outlineLevel="0" collapsed="false">
      <c r="A41" s="88" t="s">
        <v>499</v>
      </c>
      <c r="B41" s="88" t="s">
        <v>433</v>
      </c>
      <c r="C41" s="89" t="n">
        <f aca="false">Kich_ban_do_nhay!B5*100</f>
        <v>9.75</v>
      </c>
      <c r="D41" s="90" t="n">
        <v>9.75</v>
      </c>
      <c r="E41" s="91" t="n">
        <v>0.0001</v>
      </c>
      <c r="F41" s="88" t="str">
        <f aca="false">IF(ABS(C41-D41)&lt;=E41,"KHỚP","LỆCH")</f>
        <v>KHỚP</v>
      </c>
      <c r="G41" s="88" t="s">
        <v>500</v>
      </c>
    </row>
    <row r="42" customFormat="false" ht="15" hidden="false" customHeight="false" outlineLevel="0" collapsed="false">
      <c r="A42" s="88" t="s">
        <v>501</v>
      </c>
      <c r="B42" s="88" t="s">
        <v>433</v>
      </c>
      <c r="C42" s="89" t="n">
        <f aca="false">Kich_ban_do_nhay!D5*100</f>
        <v>11.25</v>
      </c>
      <c r="D42" s="90" t="n">
        <v>11.25</v>
      </c>
      <c r="E42" s="91" t="n">
        <v>0.0001</v>
      </c>
      <c r="F42" s="88" t="str">
        <f aca="false">IF(ABS(C42-D42)&lt;=E42,"KHỚP","LỆCH")</f>
        <v>KHỚP</v>
      </c>
      <c r="G42" s="88" t="s">
        <v>502</v>
      </c>
    </row>
    <row r="43" customFormat="false" ht="15" hidden="false" customHeight="false" outlineLevel="0" collapsed="false">
      <c r="A43" s="88" t="s">
        <v>503</v>
      </c>
      <c r="B43" s="88" t="s">
        <v>433</v>
      </c>
      <c r="C43" s="89" t="n">
        <f aca="false">Kich_ban_do_nhay!D6*100</f>
        <v>70</v>
      </c>
      <c r="D43" s="90" t="n">
        <v>70</v>
      </c>
      <c r="E43" s="91" t="n">
        <v>0.0001</v>
      </c>
      <c r="F43" s="88" t="str">
        <f aca="false">IF(ABS(C43-D43)&lt;=E43,"KHỚP","LỆCH")</f>
        <v>KHỚP</v>
      </c>
      <c r="G43" s="88" t="s">
        <v>504</v>
      </c>
    </row>
    <row r="44" customFormat="false" ht="15" hidden="false" customHeight="false" outlineLevel="0" collapsed="false">
      <c r="A44" s="88" t="s">
        <v>505</v>
      </c>
      <c r="B44" s="88" t="s">
        <v>464</v>
      </c>
      <c r="C44" s="89" t="n">
        <f aca="false">Kich_ban_do_nhay!B9</f>
        <v>6.5</v>
      </c>
      <c r="D44" s="90" t="n">
        <v>6.5</v>
      </c>
      <c r="E44" s="91" t="n">
        <v>0.0001</v>
      </c>
      <c r="F44" s="88" t="str">
        <f aca="false">IF(ABS(C44-D44)&lt;=E44,"KHỚP","LỆCH")</f>
        <v>KHỚP</v>
      </c>
      <c r="G44" s="88" t="s">
        <v>506</v>
      </c>
    </row>
    <row r="45" customFormat="false" ht="15" hidden="false" customHeight="false" outlineLevel="0" collapsed="false">
      <c r="A45" s="88" t="s">
        <v>507</v>
      </c>
      <c r="B45" s="88" t="s">
        <v>433</v>
      </c>
      <c r="C45" s="89" t="n">
        <f aca="false">Kich_ban_do_nhay!D7*100</f>
        <v>3.64228437559397</v>
      </c>
      <c r="D45" s="90" t="n">
        <v>3.64</v>
      </c>
      <c r="E45" s="91" t="n">
        <v>0.0051</v>
      </c>
      <c r="F45" s="88" t="str">
        <f aca="false">IF(ABS(C45-D45)&lt;=E45,"KHỚP","LỆCH")</f>
        <v>KHỚP</v>
      </c>
      <c r="G45" s="88" t="s">
        <v>508</v>
      </c>
    </row>
    <row r="46" customFormat="false" ht="15" hidden="false" customHeight="false" outlineLevel="0" collapsed="false">
      <c r="A46" s="88" t="s">
        <v>509</v>
      </c>
      <c r="B46" s="88" t="s">
        <v>433</v>
      </c>
      <c r="C46" s="89" t="n">
        <f aca="false">Kich_ban_do_nhay!B10*100</f>
        <v>10</v>
      </c>
      <c r="D46" s="90" t="n">
        <v>10</v>
      </c>
      <c r="E46" s="91" t="n">
        <v>0.0001</v>
      </c>
      <c r="F46" s="88" t="str">
        <f aca="false">IF(ABS(C46-D46)&lt;=E46,"KHỚP","LỆCH")</f>
        <v>KHỚP</v>
      </c>
      <c r="G46" s="88" t="s">
        <v>510</v>
      </c>
    </row>
    <row r="47" customFormat="false" ht="15" hidden="false" customHeight="false" outlineLevel="0" collapsed="false">
      <c r="A47" s="88" t="s">
        <v>511</v>
      </c>
      <c r="B47" s="88" t="s">
        <v>433</v>
      </c>
      <c r="C47" s="89" t="n">
        <f aca="false">Kich_ban_do_nhay!D10*100</f>
        <v>3</v>
      </c>
      <c r="D47" s="90" t="n">
        <v>3</v>
      </c>
      <c r="E47" s="91" t="n">
        <v>0.0001</v>
      </c>
      <c r="F47" s="88" t="str">
        <f aca="false">IF(ABS(C47-D47)&lt;=E47,"KHỚP","LỆCH")</f>
        <v>KHỚP</v>
      </c>
      <c r="G47" s="88" t="s">
        <v>512</v>
      </c>
    </row>
    <row r="48" customFormat="false" ht="15" hidden="false" customHeight="false" outlineLevel="0" collapsed="false">
      <c r="A48" s="88" t="s">
        <v>513</v>
      </c>
      <c r="B48" s="88" t="s">
        <v>433</v>
      </c>
      <c r="C48" s="89" t="n">
        <f aca="false">Kich_ban_do_nhay!B11*100</f>
        <v>9.28757924448711</v>
      </c>
      <c r="D48" s="90" t="n">
        <v>9.29</v>
      </c>
      <c r="E48" s="91" t="n">
        <v>0.0051</v>
      </c>
      <c r="F48" s="88" t="str">
        <f aca="false">IF(ABS(C48-D48)&lt;=E48,"KHỚP","LỆCH")</f>
        <v>KHỚP</v>
      </c>
      <c r="G48" s="88" t="s">
        <v>514</v>
      </c>
    </row>
    <row r="49" customFormat="false" ht="15" hidden="false" customHeight="false" outlineLevel="0" collapsed="false">
      <c r="A49" s="88" t="s">
        <v>515</v>
      </c>
      <c r="B49" s="88" t="s">
        <v>433</v>
      </c>
      <c r="C49" s="89" t="n">
        <f aca="false">Kich_ban_do_nhay!D11*100</f>
        <v>3.0920092915</v>
      </c>
      <c r="D49" s="90" t="n">
        <v>3.09</v>
      </c>
      <c r="E49" s="91" t="n">
        <v>0.0051</v>
      </c>
      <c r="F49" s="88" t="str">
        <f aca="false">IF(ABS(C49-D49)&lt;=E49,"KHỚP","LỆCH")</f>
        <v>KHỚP</v>
      </c>
      <c r="G49" s="88" t="s">
        <v>516</v>
      </c>
    </row>
    <row r="50" customFormat="false" ht="15" hidden="false" customHeight="false" outlineLevel="0" collapsed="false">
      <c r="A50" s="88" t="s">
        <v>517</v>
      </c>
      <c r="B50" s="88" t="s">
        <v>433</v>
      </c>
      <c r="C50" s="89" t="n">
        <f aca="false">Kich_ban_do_nhay!B13*100</f>
        <v>5.85</v>
      </c>
      <c r="D50" s="90" t="n">
        <v>5.85</v>
      </c>
      <c r="E50" s="91" t="n">
        <v>0.0001</v>
      </c>
      <c r="F50" s="88" t="str">
        <f aca="false">IF(ABS(C50-D50)&lt;=E50,"KHỚP","LỆCH")</f>
        <v>KHỚP</v>
      </c>
      <c r="G50" s="88" t="s">
        <v>518</v>
      </c>
    </row>
    <row r="51" customFormat="false" ht="15" hidden="false" customHeight="false" outlineLevel="0" collapsed="false">
      <c r="A51" s="88" t="s">
        <v>519</v>
      </c>
      <c r="B51" s="88" t="s">
        <v>433</v>
      </c>
      <c r="C51" s="89" t="n">
        <f aca="false">Kich_ban_do_nhay!B14*100</f>
        <v>2.4</v>
      </c>
      <c r="D51" s="90" t="n">
        <v>2.4</v>
      </c>
      <c r="E51" s="91" t="n">
        <v>0.0001</v>
      </c>
      <c r="F51" s="88" t="str">
        <f aca="false">IF(ABS(C51-D51)&lt;=E51,"KHỚP","LỆCH")</f>
        <v>KHỚP</v>
      </c>
      <c r="G51" s="88" t="s">
        <v>520</v>
      </c>
    </row>
    <row r="52" customFormat="false" ht="15" hidden="false" customHeight="false" outlineLevel="0" collapsed="false">
      <c r="A52" s="88" t="s">
        <v>521</v>
      </c>
      <c r="B52" s="88" t="s">
        <v>433</v>
      </c>
      <c r="C52" s="89" t="n">
        <f aca="false">Kich_ban_do_nhay!D13*100</f>
        <v>7.6</v>
      </c>
      <c r="D52" s="90" t="n">
        <v>7.6</v>
      </c>
      <c r="E52" s="91" t="n">
        <v>0.0001</v>
      </c>
      <c r="F52" s="88" t="str">
        <f aca="false">IF(ABS(C52-D52)&lt;=E52,"KHỚP","LỆCH")</f>
        <v>KHỚP</v>
      </c>
      <c r="G52" s="88" t="s">
        <v>522</v>
      </c>
    </row>
    <row r="53" customFormat="false" ht="15" hidden="false" customHeight="false" outlineLevel="0" collapsed="false">
      <c r="A53" s="88" t="s">
        <v>523</v>
      </c>
      <c r="B53" s="88" t="s">
        <v>433</v>
      </c>
      <c r="C53" s="89" t="n">
        <f aca="false">Kich_ban_do_nhay!D14*100</f>
        <v>5.04</v>
      </c>
      <c r="D53" s="90" t="n">
        <v>5.04</v>
      </c>
      <c r="E53" s="91" t="n">
        <v>0.0001</v>
      </c>
      <c r="F53" s="88" t="str">
        <f aca="false">IF(ABS(C53-D53)&lt;=E53,"KHỚP","LỆCH")</f>
        <v>KHỚP</v>
      </c>
      <c r="G53" s="88" t="s">
        <v>524</v>
      </c>
    </row>
    <row r="56" customFormat="false" ht="15" hidden="false" customHeight="false" outlineLevel="0" collapsed="false">
      <c r="A56" s="92" t="s">
        <v>525</v>
      </c>
    </row>
    <row r="57" customFormat="false" ht="15" hidden="false" customHeight="false" outlineLevel="0" collapsed="false">
      <c r="A57" s="15" t="s">
        <v>526</v>
      </c>
      <c r="B57" s="15" t="s">
        <v>527</v>
      </c>
      <c r="C57" s="15" t="s">
        <v>528</v>
      </c>
      <c r="D57" s="15" t="s">
        <v>529</v>
      </c>
      <c r="E57" s="15" t="s">
        <v>430</v>
      </c>
      <c r="F57" s="15" t="s">
        <v>431</v>
      </c>
      <c r="G57" s="15" t="s">
        <v>530</v>
      </c>
    </row>
    <row r="58" customFormat="false" ht="15" hidden="false" customHeight="false" outlineLevel="0" collapsed="false">
      <c r="A58" s="88" t="s">
        <v>531</v>
      </c>
      <c r="B58" s="88" t="s">
        <v>532</v>
      </c>
      <c r="C58" s="93" t="n">
        <v>756</v>
      </c>
      <c r="D58" s="93" t="n">
        <v>756</v>
      </c>
      <c r="E58" s="90" t="n">
        <v>0</v>
      </c>
      <c r="F58" s="88" t="str">
        <f aca="false">IF(ABS(C58-D58)&lt;=E58,"KHỚP","LỆCH")</f>
        <v>KHỚP</v>
      </c>
      <c r="G58" s="88" t="s">
        <v>533</v>
      </c>
    </row>
    <row r="59" customFormat="false" ht="15" hidden="false" customHeight="false" outlineLevel="0" collapsed="false">
      <c r="A59" s="88" t="s">
        <v>534</v>
      </c>
      <c r="B59" s="88" t="s">
        <v>532</v>
      </c>
      <c r="C59" s="93" t="n">
        <v>277</v>
      </c>
      <c r="D59" s="93" t="n">
        <v>277</v>
      </c>
      <c r="E59" s="90" t="n">
        <v>0</v>
      </c>
      <c r="F59" s="88" t="str">
        <f aca="false">IF(ABS(C59-D59)&lt;=E59,"KHỚP","LỆCH")</f>
        <v>KHỚP</v>
      </c>
      <c r="G59" s="88" t="s">
        <v>533</v>
      </c>
    </row>
    <row r="60" customFormat="false" ht="15" hidden="false" customHeight="false" outlineLevel="0" collapsed="false">
      <c r="A60" s="88" t="s">
        <v>535</v>
      </c>
      <c r="B60" s="88" t="s">
        <v>536</v>
      </c>
      <c r="C60" s="93" t="n">
        <v>72</v>
      </c>
      <c r="D60" s="93" t="n">
        <v>72</v>
      </c>
      <c r="E60" s="90" t="n">
        <v>0</v>
      </c>
      <c r="F60" s="88" t="str">
        <f aca="false">IF(ABS(C60-D60)&lt;=E60,"KHỚP","LỆCH")</f>
        <v>KHỚP</v>
      </c>
      <c r="G60" s="88" t="s">
        <v>537</v>
      </c>
    </row>
    <row r="61" customFormat="false" ht="15" hidden="false" customHeight="false" outlineLevel="0" collapsed="false">
      <c r="A61" s="88" t="s">
        <v>538</v>
      </c>
      <c r="B61" s="88" t="s">
        <v>536</v>
      </c>
      <c r="C61" s="93" t="n">
        <v>80</v>
      </c>
      <c r="D61" s="93" t="n">
        <v>80</v>
      </c>
      <c r="E61" s="90" t="n">
        <v>0</v>
      </c>
      <c r="F61" s="88" t="str">
        <f aca="false">IF(ABS(C61-D61)&lt;=E61,"KHỚP","LỆCH")</f>
        <v>KHỚP</v>
      </c>
      <c r="G61" s="88" t="s">
        <v>537</v>
      </c>
    </row>
    <row r="62" customFormat="false" ht="15" hidden="false" customHeight="false" outlineLevel="0" collapsed="false">
      <c r="A62" s="88" t="s">
        <v>539</v>
      </c>
      <c r="B62" s="88" t="s">
        <v>540</v>
      </c>
      <c r="C62" s="93" t="n">
        <v>15000000</v>
      </c>
      <c r="D62" s="93" t="n">
        <v>15000000</v>
      </c>
      <c r="E62" s="90" t="n">
        <v>0</v>
      </c>
      <c r="F62" s="88" t="str">
        <f aca="false">IF(ABS(C62-D62)&lt;=E62,"KHỚP","LỆCH")</f>
        <v>KHỚP</v>
      </c>
      <c r="G62" s="88" t="s">
        <v>541</v>
      </c>
    </row>
    <row r="63" customFormat="false" ht="15" hidden="false" customHeight="false" outlineLevel="0" collapsed="false">
      <c r="A63" s="88" t="s">
        <v>542</v>
      </c>
      <c r="B63" s="88" t="s">
        <v>543</v>
      </c>
      <c r="C63" s="93" t="n">
        <v>235</v>
      </c>
      <c r="D63" s="93" t="n">
        <v>235</v>
      </c>
      <c r="E63" s="90" t="n">
        <v>0</v>
      </c>
      <c r="F63" s="88" t="str">
        <f aca="false">IF(ABS(C63-D63)&lt;=E63,"KHỚP","LỆCH")</f>
        <v>KHỚP</v>
      </c>
      <c r="G63" s="88" t="s">
        <v>544</v>
      </c>
    </row>
    <row r="64" customFormat="false" ht="15" hidden="false" customHeight="false" outlineLevel="0" collapsed="false">
      <c r="A64" s="88" t="s">
        <v>545</v>
      </c>
      <c r="B64" s="88" t="s">
        <v>543</v>
      </c>
      <c r="C64" s="93" t="n">
        <v>99</v>
      </c>
      <c r="D64" s="93" t="n">
        <v>99</v>
      </c>
      <c r="E64" s="90" t="n">
        <v>0</v>
      </c>
      <c r="F64" s="88" t="str">
        <f aca="false">IF(ABS(C64-D64)&lt;=E64,"KHỚP","LỆCH")</f>
        <v>KHỚP</v>
      </c>
      <c r="G64" s="88" t="s">
        <v>544</v>
      </c>
    </row>
    <row r="65" customFormat="false" ht="15" hidden="false" customHeight="false" outlineLevel="0" collapsed="false">
      <c r="A65" s="88" t="s">
        <v>546</v>
      </c>
      <c r="B65" s="88" t="s">
        <v>543</v>
      </c>
      <c r="C65" s="93" t="n">
        <v>102</v>
      </c>
      <c r="D65" s="93" t="n">
        <v>102</v>
      </c>
      <c r="E65" s="90" t="n">
        <v>0</v>
      </c>
      <c r="F65" s="88" t="str">
        <f aca="false">IF(ABS(C65-D65)&lt;=E65,"KHỚP","LỆCH")</f>
        <v>KHỚP</v>
      </c>
      <c r="G65" s="88" t="s">
        <v>544</v>
      </c>
    </row>
    <row r="66" customFormat="false" ht="15" hidden="false" customHeight="false" outlineLevel="0" collapsed="false">
      <c r="A66" s="88" t="s">
        <v>545</v>
      </c>
      <c r="B66" s="88" t="s">
        <v>543</v>
      </c>
      <c r="C66" s="93" t="n">
        <v>47</v>
      </c>
      <c r="D66" s="93" t="n">
        <v>47</v>
      </c>
      <c r="E66" s="90" t="n">
        <v>0</v>
      </c>
      <c r="F66" s="88" t="str">
        <f aca="false">IF(ABS(C66-D66)&lt;=E66,"KHỚP","LỆCH")</f>
        <v>KHỚP</v>
      </c>
      <c r="G66" s="88" t="s">
        <v>544</v>
      </c>
    </row>
    <row r="67" customFormat="false" ht="15" hidden="false" customHeight="false" outlineLevel="0" collapsed="false">
      <c r="A67" s="88" t="s">
        <v>547</v>
      </c>
      <c r="B67" s="88" t="s">
        <v>548</v>
      </c>
      <c r="C67" s="93" t="n">
        <v>71</v>
      </c>
      <c r="D67" s="93" t="n">
        <v>71</v>
      </c>
      <c r="E67" s="90" t="n">
        <v>0</v>
      </c>
      <c r="F67" s="88" t="str">
        <f aca="false">IF(ABS(C67-D67)&lt;=E67,"KHỚP","LỆCH")</f>
        <v>KHỚP</v>
      </c>
      <c r="G67" s="88" t="s">
        <v>180</v>
      </c>
    </row>
    <row r="68" customFormat="false" ht="15" hidden="false" customHeight="false" outlineLevel="0" collapsed="false">
      <c r="A68" s="88" t="s">
        <v>549</v>
      </c>
      <c r="B68" s="88" t="s">
        <v>433</v>
      </c>
      <c r="C68" s="93" t="n">
        <v>2.3</v>
      </c>
      <c r="D68" s="93" t="n">
        <v>2.3</v>
      </c>
      <c r="E68" s="90" t="n">
        <v>0.05</v>
      </c>
      <c r="F68" s="88" t="str">
        <f aca="false">IF(ABS(C68-D68)&lt;=E68,"KHỚP","LỆCH")</f>
        <v>KHỚP</v>
      </c>
      <c r="G68" s="88" t="s">
        <v>180</v>
      </c>
    </row>
    <row r="69" customFormat="false" ht="15" hidden="false" customHeight="false" outlineLevel="0" collapsed="false">
      <c r="A69" s="88" t="s">
        <v>550</v>
      </c>
      <c r="B69" s="88" t="s">
        <v>551</v>
      </c>
      <c r="C69" s="93" t="n">
        <v>85</v>
      </c>
      <c r="D69" s="93" t="n">
        <v>84.98</v>
      </c>
      <c r="E69" s="90" t="n">
        <v>0.5</v>
      </c>
      <c r="F69" s="88" t="str">
        <f aca="false">IF(ABS(C69-D69)&lt;=E69,"KHỚP","LỆCH")</f>
        <v>KHỚP</v>
      </c>
      <c r="G69" s="88" t="s">
        <v>552</v>
      </c>
    </row>
    <row r="70" customFormat="false" ht="15" hidden="false" customHeight="false" outlineLevel="0" collapsed="false">
      <c r="A70" s="88" t="s">
        <v>553</v>
      </c>
      <c r="B70" s="88" t="s">
        <v>554</v>
      </c>
      <c r="C70" s="93" t="n">
        <v>190</v>
      </c>
      <c r="D70" s="93" t="n">
        <v>191.49</v>
      </c>
      <c r="E70" s="90" t="n">
        <v>2</v>
      </c>
      <c r="F70" s="88" t="str">
        <f aca="false">IF(ABS(C70-D70)&lt;=E70,"KHỚP","LỆCH")</f>
        <v>KHỚP</v>
      </c>
      <c r="G70" s="88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60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85" t="s">
        <v>556</v>
      </c>
    </row>
    <row r="3" customFormat="false" ht="15" hidden="false" customHeight="false" outlineLevel="0" collapsed="false">
      <c r="A3" s="94" t="s">
        <v>557</v>
      </c>
      <c r="B3" s="94" t="s">
        <v>558</v>
      </c>
      <c r="C3" s="94" t="s">
        <v>559</v>
      </c>
      <c r="D3" s="94" t="s">
        <v>560</v>
      </c>
    </row>
    <row r="4" customFormat="false" ht="23.85" hidden="false" customHeight="false" outlineLevel="0" collapsed="false">
      <c r="A4" s="95" t="s">
        <v>561</v>
      </c>
      <c r="B4" s="95" t="s">
        <v>562</v>
      </c>
      <c r="C4" s="95" t="s">
        <v>0</v>
      </c>
      <c r="D4" s="95" t="s">
        <v>563</v>
      </c>
    </row>
    <row r="5" customFormat="false" ht="15" hidden="false" customHeight="false" outlineLevel="0" collapsed="false">
      <c r="A5" s="95" t="s">
        <v>564</v>
      </c>
      <c r="B5" s="95" t="s">
        <v>565</v>
      </c>
      <c r="C5" s="95" t="s">
        <v>566</v>
      </c>
      <c r="D5" s="95" t="s">
        <v>567</v>
      </c>
    </row>
    <row r="6" customFormat="false" ht="23.85" hidden="false" customHeight="false" outlineLevel="0" collapsed="false">
      <c r="A6" s="95" t="s">
        <v>568</v>
      </c>
      <c r="B6" s="95" t="s">
        <v>569</v>
      </c>
      <c r="C6" s="95" t="s">
        <v>570</v>
      </c>
      <c r="D6" s="95" t="s">
        <v>571</v>
      </c>
    </row>
    <row r="7" customFormat="false" ht="23.85" hidden="false" customHeight="false" outlineLevel="0" collapsed="false">
      <c r="A7" s="95" t="s">
        <v>572</v>
      </c>
      <c r="B7" s="95" t="s">
        <v>573</v>
      </c>
      <c r="C7" s="95" t="s">
        <v>574</v>
      </c>
      <c r="D7" s="95" t="s">
        <v>575</v>
      </c>
    </row>
    <row r="8" customFormat="false" ht="15" hidden="false" customHeight="false" outlineLevel="0" collapsed="false">
      <c r="A8" s="95" t="s">
        <v>576</v>
      </c>
      <c r="B8" s="95" t="s">
        <v>577</v>
      </c>
      <c r="C8" s="95" t="s">
        <v>578</v>
      </c>
      <c r="D8" s="95" t="s">
        <v>579</v>
      </c>
    </row>
    <row r="9" customFormat="false" ht="23.85" hidden="false" customHeight="false" outlineLevel="0" collapsed="false">
      <c r="A9" s="95" t="s">
        <v>580</v>
      </c>
      <c r="B9" s="95" t="s">
        <v>581</v>
      </c>
      <c r="C9" s="95" t="s">
        <v>88</v>
      </c>
      <c r="D9" s="95" t="s">
        <v>582</v>
      </c>
    </row>
    <row r="10" customFormat="false" ht="23.85" hidden="false" customHeight="false" outlineLevel="0" collapsed="false">
      <c r="A10" s="95" t="s">
        <v>583</v>
      </c>
      <c r="B10" s="95" t="s">
        <v>584</v>
      </c>
      <c r="C10" s="95" t="s">
        <v>585</v>
      </c>
      <c r="D10" s="95" t="s">
        <v>586</v>
      </c>
    </row>
    <row r="11" customFormat="false" ht="23.85" hidden="false" customHeight="false" outlineLevel="0" collapsed="false">
      <c r="A11" s="95" t="s">
        <v>587</v>
      </c>
      <c r="B11" s="95" t="s">
        <v>588</v>
      </c>
      <c r="C11" s="95" t="s">
        <v>109</v>
      </c>
      <c r="D11" s="95" t="s">
        <v>589</v>
      </c>
    </row>
    <row r="12" customFormat="false" ht="23.85" hidden="false" customHeight="false" outlineLevel="0" collapsed="false">
      <c r="A12" s="95" t="s">
        <v>590</v>
      </c>
      <c r="B12" s="95" t="s">
        <v>584</v>
      </c>
      <c r="C12" s="95" t="s">
        <v>591</v>
      </c>
      <c r="D12" s="95" t="s">
        <v>592</v>
      </c>
    </row>
    <row r="13" customFormat="false" ht="15" hidden="false" customHeight="false" outlineLevel="0" collapsed="false">
      <c r="A13" s="95" t="s">
        <v>593</v>
      </c>
      <c r="B13" s="95" t="s">
        <v>584</v>
      </c>
      <c r="C13" s="95" t="s">
        <v>594</v>
      </c>
      <c r="D13" s="95" t="s">
        <v>595</v>
      </c>
    </row>
    <row r="14" customFormat="false" ht="15" hidden="false" customHeight="false" outlineLevel="0" collapsed="false">
      <c r="A14" s="95" t="s">
        <v>596</v>
      </c>
      <c r="B14" s="95" t="s">
        <v>597</v>
      </c>
      <c r="C14" s="95" t="s">
        <v>598</v>
      </c>
      <c r="D14" s="95" t="s">
        <v>599</v>
      </c>
    </row>
    <row r="15" customFormat="false" ht="23.85" hidden="false" customHeight="false" outlineLevel="0" collapsed="false">
      <c r="A15" s="95" t="s">
        <v>600</v>
      </c>
      <c r="B15" s="95" t="s">
        <v>601</v>
      </c>
      <c r="C15" s="95" t="s">
        <v>602</v>
      </c>
      <c r="D15" s="95" t="s">
        <v>603</v>
      </c>
    </row>
    <row r="16" customFormat="false" ht="23.85" hidden="false" customHeight="false" outlineLevel="0" collapsed="false">
      <c r="A16" s="95" t="s">
        <v>604</v>
      </c>
      <c r="B16" s="95" t="s">
        <v>605</v>
      </c>
      <c r="C16" s="95" t="s">
        <v>606</v>
      </c>
      <c r="D16" s="95" t="s">
        <v>607</v>
      </c>
    </row>
    <row r="17" customFormat="false" ht="23.85" hidden="false" customHeight="false" outlineLevel="0" collapsed="false">
      <c r="A17" s="95" t="s">
        <v>608</v>
      </c>
      <c r="B17" s="95" t="s">
        <v>584</v>
      </c>
      <c r="C17" s="95" t="s">
        <v>609</v>
      </c>
      <c r="D17" s="95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2026-10-02T10:30:07Z</dcterms:created>
  <dc:creator>openpyxl</dc:creator>
  <dc:description/>
  <dc:language>en-US</dc:language>
  <cp:lastModifiedBy/>
  <dcterms:modified xsi:type="dcterms:W3CDTF">2026-10-24T05:39:13Z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