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NIndex_fixed" sheetId="2" state="visible" r:id="rId4"/>
    <sheet name="Gold_SJC" sheetId="3" state="visible" r:id="rId5"/>
    <sheet name="Bond_10Y" sheetId="4" state="visible" r:id="rId6"/>
    <sheet name="Savings_hist" sheetId="5" state="visible" r:id="rId7"/>
    <sheet name="CPI_WB" sheetId="6" state="visible" r:id="rId8"/>
    <sheet name="Income_growth" sheetId="7" state="visible" r:id="rId9"/>
    <sheet name="Property_CAGR" sheetId="8" state="visible" r:id="rId10"/>
    <sheet name="Nguon_vay_MB_VCB" sheetId="9" state="visible" r:id="rId11"/>
    <sheet name="Lai_suat_cho_vay" sheetId="10" state="visible" r:id="rId12"/>
    <sheet name="Gia_thue" sheetId="11" state="visible" r:id="rId13"/>
    <sheet name="Gia_BDS_thi_truong" sheetId="12" state="visible" r:id="rId14"/>
    <sheet name="Tiet_kiem_snapshot" sheetId="13" state="visible" r:id="rId15"/>
    <sheet name="Kenh_dau_tu" sheetId="14" state="visible" r:id="rId16"/>
    <sheet name="LatLong_QA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<sst xmlns="http://schemas.openxmlformats.org/spreadsheetml/2006/main" count="608" uniqueCount="475">
  <si>
    <t xml:space="preserve">Supporting_data_v2.xlsx — dữ liệu hỗ trợ FIN_ASSUMPTIONS đã sửa (FinFlow, 29/09/2026)</t>
  </si>
  <si>
    <t xml:space="preserve">Quy ước: chữ xanh dương = số gốc nhập từ nguồn; chữ đen = công thức; chữ xanh lá = link sang sheet khác; nền vàng = ô cần team điền/thử.</t>
  </si>
  <si>
    <t xml:space="preserve">Mọi mean/std đều là CÔNG THỨC trên dữ liệu gốc → sửa dữ liệu thì kết quả tự cập nhật.</t>
  </si>
  <si>
    <t xml:space="preserve">VNIndex_fixed — #10: sửa lỗi ngày, tính lại mean/std, đối chiếu cuối năm với báo chí</t>
  </si>
  <si>
    <t xml:space="preserve">Gold_SJC — #12: lợi suất vàng; Bond_10Y — #11; Savings_hist — #9 (chuỗi lịch sử)</t>
  </si>
  <si>
    <t xml:space="preserve">Income_growth — #8: std TĂNG TRƯỞNG thu nhập (team đang lấy std của MỨC thu nhập)</t>
  </si>
  <si>
    <t xml:space="preserve">CPI_WB — đề xuất tăng chi phí sinh hoạt</t>
  </si>
  <si>
    <t xml:space="preserve">Property_CAGR — #3: CAGR theo cửa sổ + kiểm tra nhất quán giá/thuê 30 năm</t>
  </si>
  <si>
    <t xml:space="preserve">Nguon_vay_MB_VCB — #1, #1b, #1c, #2</t>
  </si>
  <si>
    <t xml:space="preserve">Lai_suat_cho_vay — #6; Gia_thue — #7; Gia_BDS_thi_truong — #3; Tiet_kiem_snapshot — #9 (mẫu điền)</t>
  </si>
  <si>
    <t xml:space="preserve">Kenh_dau_tu — bảng tổng hợp mean/std/sampling cho FIN_ASSUMPTIONS và Monte Carlo</t>
  </si>
  <si>
    <t xml:space="preserve">LatLong_QA — #13 + công thức bathrooms</t>
  </si>
  <si>
    <t xml:space="preserve">VN-Index đóng cửa tháng 05/2021–08/2026 (đã sửa lỗi ngày)</t>
  </si>
  <si>
    <t xml:space="preserve">Lỗi gốc: 'Mmm-YY' bị Sheets hiểu là Mmm-DD năm 2026 (VD 'May-21' → 21/05/2026) → năm thật nằm ở phần 'ngày'. Block hồi quy G6:O23 của file gốc hỏng do locale (R²=387, số dạng text) → 14,2% cũ không dùng được.</t>
  </si>
  <si>
    <t xml:space="preserve">stored_date (giá trị gốc, sai)</t>
  </si>
  <si>
    <t xml:space="preserve">Tháng thực</t>
  </si>
  <si>
    <t xml:space="preserve">VN-Index đóng cửa</t>
  </si>
  <si>
    <t xml:space="preserve">Lợi suất tháng</t>
  </si>
  <si>
    <t xml:space="preserve">Log return</t>
  </si>
  <si>
    <t xml:space="preserve">Thống kê (công thức)</t>
  </si>
  <si>
    <t xml:space="preserve">Giá trị</t>
  </si>
  <si>
    <t xml:space="preserve">2026-05-21</t>
  </si>
  <si>
    <t xml:space="preserve">2021-05</t>
  </si>
  <si>
    <t xml:space="preserve">Số lợi suất tháng</t>
  </si>
  <si>
    <t xml:space="preserve">2026-06-21</t>
  </si>
  <si>
    <t xml:space="preserve">2021-06</t>
  </si>
  <si>
    <t xml:space="preserve">TB lợi suất tháng</t>
  </si>
  <si>
    <t xml:space="preserve">2026-07-21</t>
  </si>
  <si>
    <t xml:space="preserve">2021-07</t>
  </si>
  <si>
    <t xml:space="preserve">Std tháng (mẫu)</t>
  </si>
  <si>
    <t xml:space="preserve">2026-08-21</t>
  </si>
  <si>
    <t xml:space="preserve">2021-08</t>
  </si>
  <si>
    <t xml:space="preserve">TB năm = TB tháng × 12</t>
  </si>
  <si>
    <t xml:space="preserve">2026-09-21</t>
  </si>
  <si>
    <t xml:space="preserve">2021-09</t>
  </si>
  <si>
    <t xml:space="preserve">Std năm = std tháng × √12</t>
  </si>
  <si>
    <t xml:space="preserve">2026-10-21</t>
  </si>
  <si>
    <t xml:space="preserve">2021-10</t>
  </si>
  <si>
    <t xml:space="preserve">CAGR</t>
  </si>
  <si>
    <t xml:space="preserve">2026-11-21</t>
  </si>
  <si>
    <t xml:space="preserve">2021-11</t>
  </si>
  <si>
    <t xml:space="preserve">TB log return năm</t>
  </si>
  <si>
    <t xml:space="preserve">2026-12-21</t>
  </si>
  <si>
    <t xml:space="preserve">2021-12</t>
  </si>
  <si>
    <t xml:space="preserve">2026-01-22</t>
  </si>
  <si>
    <t xml:space="preserve">2022-01</t>
  </si>
  <si>
    <t xml:space="preserve">Đối chiếu cuối năm</t>
  </si>
  <si>
    <t xml:space="preserve">Trong sheet</t>
  </si>
  <si>
    <t xml:space="preserve">Báo chí</t>
  </si>
  <si>
    <t xml:space="preserve">Chênh</t>
  </si>
  <si>
    <t xml:space="preserve">Nguồn</t>
  </si>
  <si>
    <t xml:space="preserve">2026-02-22</t>
  </si>
  <si>
    <t xml:space="preserve">2022-02</t>
  </si>
  <si>
    <t xml:space="preserve">2024-12</t>
  </si>
  <si>
    <t xml:space="preserve">Thanh Niên 31/12/2025: https://thanhnien.vn/vn-index-ket-thuc-nam-2025-voi-muc-tang-khung-gan-41-185251231154434459.htm</t>
  </si>
  <si>
    <t xml:space="preserve">2026-03-22</t>
  </si>
  <si>
    <t xml:space="preserve">2022-03</t>
  </si>
  <si>
    <t xml:space="preserve">2025-12</t>
  </si>
  <si>
    <t xml:space="preserve">Thanh Niên (như trên); VnEconomy: https://vneconomy.vn/vn-index-chot-2025-o-dinh-cao-lich-su-tang-ky-luc-9-nam.htm</t>
  </si>
  <si>
    <t xml:space="preserve">2026-04-22</t>
  </si>
  <si>
    <t xml:space="preserve">2022-04</t>
  </si>
  <si>
    <t xml:space="preserve">Tăng 2025 (sheet)</t>
  </si>
  <si>
    <t xml:space="preserve">VnEconomy: tăng 40,87% so với cuối 2024</t>
  </si>
  <si>
    <t xml:space="preserve">2026-05-22</t>
  </si>
  <si>
    <t xml:space="preserve">2022-05</t>
  </si>
  <si>
    <t xml:space="preserve">2026-06-22</t>
  </si>
  <si>
    <t xml:space="preserve">2022-06</t>
  </si>
  <si>
    <t xml:space="preserve">Lưu ý: cửa sổ ~5 năm, chỉ số giá (chưa gồm cổ tức); đề xuất lấy mẫu per_year trong Monte Carlo.</t>
  </si>
  <si>
    <t xml:space="preserve">2026-07-22</t>
  </si>
  <si>
    <t xml:space="preserve">2022-07</t>
  </si>
  <si>
    <t xml:space="preserve">2026-08-22</t>
  </si>
  <si>
    <t xml:space="preserve">2022-08</t>
  </si>
  <si>
    <t xml:space="preserve">2026-09-22</t>
  </si>
  <si>
    <t xml:space="preserve">2022-09</t>
  </si>
  <si>
    <t xml:space="preserve">2026-10-22</t>
  </si>
  <si>
    <t xml:space="preserve">2022-10</t>
  </si>
  <si>
    <t xml:space="preserve">2026-11-22</t>
  </si>
  <si>
    <t xml:space="preserve">2022-11</t>
  </si>
  <si>
    <t xml:space="preserve">2026-12-22</t>
  </si>
  <si>
    <t xml:space="preserve">2022-12</t>
  </si>
  <si>
    <t xml:space="preserve">2026-01-23</t>
  </si>
  <si>
    <t xml:space="preserve">2023-01</t>
  </si>
  <si>
    <t xml:space="preserve">2026-02-23</t>
  </si>
  <si>
    <t xml:space="preserve">2023-02</t>
  </si>
  <si>
    <t xml:space="preserve">2026-03-23</t>
  </si>
  <si>
    <t xml:space="preserve">2023-03</t>
  </si>
  <si>
    <t xml:space="preserve">2026-04-23</t>
  </si>
  <si>
    <t xml:space="preserve">2023-04</t>
  </si>
  <si>
    <t xml:space="preserve">2026-05-23</t>
  </si>
  <si>
    <t xml:space="preserve">2023-05</t>
  </si>
  <si>
    <t xml:space="preserve">2026-06-23</t>
  </si>
  <si>
    <t xml:space="preserve">2023-06</t>
  </si>
  <si>
    <t xml:space="preserve">2026-07-23</t>
  </si>
  <si>
    <t xml:space="preserve">2023-07</t>
  </si>
  <si>
    <t xml:space="preserve">2026-08-23</t>
  </si>
  <si>
    <t xml:space="preserve">2023-08</t>
  </si>
  <si>
    <t xml:space="preserve">2026-09-23</t>
  </si>
  <si>
    <t xml:space="preserve">2023-09</t>
  </si>
  <si>
    <t xml:space="preserve">2026-10-23</t>
  </si>
  <si>
    <t xml:space="preserve">2023-10</t>
  </si>
  <si>
    <t xml:space="preserve">2026-11-23</t>
  </si>
  <si>
    <t xml:space="preserve">2023-11</t>
  </si>
  <si>
    <t xml:space="preserve">2026-12-23</t>
  </si>
  <si>
    <t xml:space="preserve">2023-12</t>
  </si>
  <si>
    <t xml:space="preserve">2026-01-24</t>
  </si>
  <si>
    <t xml:space="preserve">2024-01</t>
  </si>
  <si>
    <t xml:space="preserve">2026-02-24</t>
  </si>
  <si>
    <t xml:space="preserve">2024-02</t>
  </si>
  <si>
    <t xml:space="preserve">2026-03-24</t>
  </si>
  <si>
    <t xml:space="preserve">2024-03</t>
  </si>
  <si>
    <t xml:space="preserve">2026-04-24</t>
  </si>
  <si>
    <t xml:space="preserve">2024-04</t>
  </si>
  <si>
    <t xml:space="preserve">2026-05-24</t>
  </si>
  <si>
    <t xml:space="preserve">2024-05</t>
  </si>
  <si>
    <t xml:space="preserve">2026-06-24</t>
  </si>
  <si>
    <t xml:space="preserve">2024-06</t>
  </si>
  <si>
    <t xml:space="preserve">2026-07-24</t>
  </si>
  <si>
    <t xml:space="preserve">2024-07</t>
  </si>
  <si>
    <t xml:space="preserve">2026-08-24</t>
  </si>
  <si>
    <t xml:space="preserve">2024-08</t>
  </si>
  <si>
    <t xml:space="preserve">2026-09-24</t>
  </si>
  <si>
    <t xml:space="preserve">2024-09</t>
  </si>
  <si>
    <t xml:space="preserve">2026-10-24</t>
  </si>
  <si>
    <t xml:space="preserve">2024-10</t>
  </si>
  <si>
    <t xml:space="preserve">2026-11-24</t>
  </si>
  <si>
    <t xml:space="preserve">2024-11</t>
  </si>
  <si>
    <t xml:space="preserve">2026-12-24</t>
  </si>
  <si>
    <t xml:space="preserve">2026-01-25</t>
  </si>
  <si>
    <t xml:space="preserve">2025-01</t>
  </si>
  <si>
    <t xml:space="preserve">2026-02-25</t>
  </si>
  <si>
    <t xml:space="preserve">2025-02</t>
  </si>
  <si>
    <t xml:space="preserve">2026-03-25</t>
  </si>
  <si>
    <t xml:space="preserve">2025-03</t>
  </si>
  <si>
    <t xml:space="preserve">2026-04-25</t>
  </si>
  <si>
    <t xml:space="preserve">2025-04</t>
  </si>
  <si>
    <t xml:space="preserve">2026-05-25</t>
  </si>
  <si>
    <t xml:space="preserve">2025-05</t>
  </si>
  <si>
    <t xml:space="preserve">2026-06-25</t>
  </si>
  <si>
    <t xml:space="preserve">2025-06</t>
  </si>
  <si>
    <t xml:space="preserve">2026-07-25</t>
  </si>
  <si>
    <t xml:space="preserve">2025-07</t>
  </si>
  <si>
    <t xml:space="preserve">2026-08-25</t>
  </si>
  <si>
    <t xml:space="preserve">2025-08</t>
  </si>
  <si>
    <t xml:space="preserve">2026-09-25</t>
  </si>
  <si>
    <t xml:space="preserve">2025-09</t>
  </si>
  <si>
    <t xml:space="preserve">2026-10-25</t>
  </si>
  <si>
    <t xml:space="preserve">2025-10</t>
  </si>
  <si>
    <t xml:space="preserve">2026-11-25</t>
  </si>
  <si>
    <t xml:space="preserve">2025-11</t>
  </si>
  <si>
    <t xml:space="preserve">2026-12-25</t>
  </si>
  <si>
    <t xml:space="preserve">2026-01-26</t>
  </si>
  <si>
    <t xml:space="preserve">2026-01</t>
  </si>
  <si>
    <t xml:space="preserve">2026-02-26</t>
  </si>
  <si>
    <t xml:space="preserve">2026-02</t>
  </si>
  <si>
    <t xml:space="preserve">2026-03-26</t>
  </si>
  <si>
    <t xml:space="preserve">2026-03</t>
  </si>
  <si>
    <t xml:space="preserve">2026-04-26</t>
  </si>
  <si>
    <t xml:space="preserve">2026-04</t>
  </si>
  <si>
    <t xml:space="preserve">2026-05-26</t>
  </si>
  <si>
    <t xml:space="preserve">2026-05</t>
  </si>
  <si>
    <t xml:space="preserve">2026-06-26</t>
  </si>
  <si>
    <t xml:space="preserve">2026-06</t>
  </si>
  <si>
    <t xml:space="preserve">2026-07-26</t>
  </si>
  <si>
    <t xml:space="preserve">2026-07</t>
  </si>
  <si>
    <t xml:space="preserve">2026-08-26</t>
  </si>
  <si>
    <t xml:space="preserve">2026-08</t>
  </si>
  <si>
    <t xml:space="preserve">Giá vàng SJC (bán ra, cuối tháng) 01/2016–09/2026</t>
  </si>
  <si>
    <t xml:space="preserve">Nguồn: sheet 'Giá vàng SJC' của team (FiinPro). Ô xanh = số gốc; ô đen = công thức.</t>
  </si>
  <si>
    <t xml:space="preserve">Ngày</t>
  </si>
  <si>
    <t xml:space="preserve">Giá</t>
  </si>
  <si>
    <t xml:space="preserve">Tăng giá Dec-to-Dec</t>
  </si>
  <si>
    <t xml:space="preserve">Lợi suất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</si>
  <si>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</si>
  <si>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</si>
  <si>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</si>
  <si>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</si>
  <si>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</si>
  <si>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</si>
  <si>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</si>
  <si>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</si>
  <si>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</si>
  <si>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Std năm (Dec-to-Dec)</t>
  </si>
  <si>
    <t xml:space="preserve">Lưu ý: 2025 tăng bất thường; mean 14,9% là đặc thù giai đoạn — nên chạy độ nhạy.</t>
  </si>
  <si>
    <t xml:space="preserve">Lợi suất TPCP Việt Nam 5 năm &amp; 10 năm (cuối năm; 2026 = 25/09)</t>
  </si>
  <si>
    <t xml:space="preserve">Nguồn: sheet 'Return Bond' của team (FiinPro). Giả định nắm giữ đến đáo hạn.</t>
  </si>
  <si>
    <t xml:space="preserve">Năm</t>
  </si>
  <si>
    <t xml:space="preserve">TPCP 5 năm</t>
  </si>
  <si>
    <t xml:space="preserve">TPCP 10 năm</t>
  </si>
  <si>
    <t xml:space="preserve">2016</t>
  </si>
  <si>
    <t xml:space="preserve">TB 10 năm</t>
  </si>
  <si>
    <t xml:space="preserve">Std 10 năm</t>
  </si>
  <si>
    <t xml:space="preserve">TB 5 năm</t>
  </si>
  <si>
    <t xml:space="preserve">Std 5 năm</t>
  </si>
  <si>
    <t xml:space="preserve">2026</t>
  </si>
  <si>
    <t xml:space="preserve">Lãi suất huy động VND cao nhất thị trường (cuối năm; 2026 = 25/09)</t>
  </si>
  <si>
    <t xml:space="preserve">Nguồn: sheet 'Lãi huy động' của team. Dùng mức CAO NHẤT → lệch lên so với lãi suất Big4.</t>
  </si>
  <si>
    <t xml:space="preserve">Kỳ hạn 6–12 tháng</t>
  </si>
  <si>
    <t xml:space="preserve">Kỳ hạn &gt;12 tháng</t>
  </si>
  <si>
    <t xml:space="preserve">TB 6–12 tháng</t>
  </si>
  <si>
    <t xml:space="preserve">Std 6–12 tháng</t>
  </si>
  <si>
    <t xml:space="preserve">TB &gt;12 tháng</t>
  </si>
  <si>
    <t xml:space="preserve">Std &gt;12 tháng</t>
  </si>
  <si>
    <t xml:space="preserve">Lạm phát CPI Việt Nam 2016–2025 (World Bank)</t>
  </si>
  <si>
    <t xml:space="preserve">Nguồn: sheet 'Inflation WB' của team. Đề xuất cho living_cost_annual_growth_pct.</t>
  </si>
  <si>
    <t xml:space="preserve">CPI (%/năm)</t>
  </si>
  <si>
    <t xml:space="preserve">TB 2016–2025</t>
  </si>
  <si>
    <t xml:space="preserve">Std</t>
  </si>
  <si>
    <t xml:space="preserve">Thu nhập bình quân đầu người/tháng (VND) — KSMS 2019–2024</t>
  </si>
  <si>
    <t xml:space="preserve">Nguồn: NSO, Khảo sát mức sống dân cư 2024: https://www.nso.gov.vn/wp-content/uploads/2026/03/Sach-Khao-sat-muc-song-dan-cu-2024.pdf</t>
  </si>
  <si>
    <t xml:space="preserve">Thu nhập (VND)</t>
  </si>
  <si>
    <t xml:space="preserve">Tăng trưởng</t>
  </si>
  <si>
    <t xml:space="preserve">TB tăng trưởng (đề xuất mean)</t>
  </si>
  <si>
    <t xml:space="preserve">Std tăng trưởng (đề xuất std)</t>
  </si>
  <si>
    <t xml:space="preserve">Cách team đang tính (SAI): std của MỨC thu nhập</t>
  </si>
  <si>
    <t xml:space="preserve">→ đơn vị là VND, không phải % tăng trưởng; không dùng được cho Monte Carlo. n=5, có 2 năm COVID.</t>
  </si>
  <si>
    <t xml:space="preserve">Giá căn hộ sơ cấp Hà Nội (USD/m²) 2016–2025 và kiểm tra nhất quán giá/thuê (#3)</t>
  </si>
  <si>
    <t xml:space="preserve">Nguồn: sheet 'Lạm phát giá mua bds' của team (CafeF + Cushman &amp; Wakefield). Ô vàng = tham số để thử.</t>
  </si>
  <si>
    <t xml:space="preserve">USD/m²</t>
  </si>
  <si>
    <t xml:space="preserve">Tăng YoY</t>
  </si>
  <si>
    <t xml:space="preserve">CAGR 2016–2025</t>
  </si>
  <si>
    <t xml:space="preserve">CAGR 2016–2020</t>
  </si>
  <si>
    <t xml:space="preserve">CAGR 2020–2025</t>
  </si>
  <si>
    <t xml:space="preserve">TB tăng YoY</t>
  </si>
  <si>
    <t xml:space="preserve">Std tăng YoY</t>
  </si>
  <si>
    <t xml:space="preserve">Mốc neo dài hạn = CPI TB + tăng GDP thực/người</t>
  </si>
  <si>
    <t xml:space="preserve">CPI TB 2016–2025 (link CPI_WB)</t>
  </si>
  <si>
    <t xml:space="preserve">Tăng GDP thực/người (ước tính — Finance kiểm tra lại từ sheet 'GDP pc')</t>
  </si>
  <si>
    <t xml:space="preserve">Mốc neo</t>
  </si>
  <si>
    <t xml:space="preserve">Kiểm tra nhất quán sau N năm</t>
  </si>
  <si>
    <t xml:space="preserve">19% (PA1 plan)</t>
  </si>
  <si>
    <t xml:space="preserve">CAGR 2016–25</t>
  </si>
  <si>
    <t xml:space="preserve">Tăng giá nhà g</t>
  </si>
  <si>
    <t xml:space="preserve">Tăng giá thuê r (plan: 7%)</t>
  </si>
  <si>
    <t xml:space="preserve">Số năm N</t>
  </si>
  <si>
    <t xml:space="preserve">Lợi suất cho thuê ban đầu y0 (Vietnambiz: ~3% Q1/2025)</t>
  </si>
  <si>
    <t xml:space="preserve">Giá nhà nhân lên (lần)</t>
  </si>
  <si>
    <t xml:space="preserve">Tỷ lệ giá/thuê nhân lên (lần)</t>
  </si>
  <si>
    <t xml:space="preserve">Lợi suất cho thuê ngụ ý sau N năm</t>
  </si>
  <si>
    <t xml:space="preserve">Đọc kết quả: g = 19% và r = 7% trong 30 năm → lợi suất cho thuê ~0,1%/năm (không thực tế). Xem docs/KET_QUA_TODO.md #3.</t>
  </si>
  <si>
    <t xml:space="preserve">#1 thời hạn vay MB · #1b tuổi tối đa · #1c phí trả trước hạn · #2 LTV Vietcombank</t>
  </si>
  <si>
    <t xml:space="preserve">Mỗi dòng = 1 khẳng định + nguồn. Loại nguồn: Sơ cấp (trang chính thức) / Báo chí / Tổng hợp.</t>
  </si>
  <si>
    <t xml:space="preserve">Hạng mục</t>
  </si>
  <si>
    <t xml:space="preserve">Nội dung / giá trị</t>
  </si>
  <si>
    <t xml:space="preserve">Thời điểm</t>
  </si>
  <si>
    <t xml:space="preserve">Loại nguồn</t>
  </si>
  <si>
    <t xml:space="preserve">Link</t>
  </si>
  <si>
    <t xml:space="preserve">Ghi chú độ tin cậy</t>
  </si>
  <si>
    <t xml:space="preserve">#1 MB Dream Home</t>
  </si>
  <si>
    <t xml:space="preserve">Vay tới 80%, thời hạn tới 35 năm (mô tả trang sản phẩm MB)</t>
  </si>
  <si>
    <t xml:space="preserve">tra cứu 09/2026</t>
  </si>
  <si>
    <t xml:space="preserve">Sơ cấp</t>
  </si>
  <si>
    <t xml:space="preserve">https://www.mbbank.com.vn/26/37/113/Chi-tiet/mua-nha-dat-tho-cu-chung-cu-du-an-cho-nguoi-tre-2024-6-5-17-58-30</t>
  </si>
  <si>
    <t xml:space="preserve">Gói riêng cho người trẻ — KHÁC gói CN Vạn Phúc (ân hạn 24 tháng)</t>
  </si>
  <si>
    <t xml:space="preserve">Dành cho khách hàng 23–40 tuổi</t>
  </si>
  <si>
    <t xml:space="preserve">28/03/2025</t>
  </si>
  <si>
    <t xml:space="preserve">Báo chí (Cổng TTĐT Chính phủ)</t>
  </si>
  <si>
    <t xml:space="preserve">https://baochinhphu.vn/mb-tien-phong-ho-tro-nguoi-tre-mua-nha-voi-goi-tin-dung-dream-home-102250328181355734.htm</t>
  </si>
  <si>
    <t xml:space="preserve">Hạn mức tối đa 5 tỷ; không trả gốc tới 5 năm đầu</t>
  </si>
  <si>
    <t xml:space="preserve">08/2024</t>
  </si>
  <si>
    <t xml:space="preserve">https://thanhnien.vn/gioi-tre-hien-thuc-hoa-giac-mo-an-cu-voi-goi-vay-uu-dai-tu-mb-18524080416314239.htm</t>
  </si>
  <si>
    <t xml:space="preserve">Hồ sơ test (vay 5,7 tỷ) vượt hạn mức 5 tỷ → không áp dụng được gói này</t>
  </si>
  <si>
    <t xml:space="preserve">Ra mắt 03/2024 với thời hạn 30 năm</t>
  </si>
  <si>
    <t xml:space="preserve">03/2024</t>
  </si>
  <si>
    <t xml:space="preserve">Báo chí (VNBA)</t>
  </si>
  <si>
    <t xml:space="preserve">https://vnba.org.vn/vi/mb-ra-mat-goi-vay-mua-nha-uu-dai-dac-biet-danh-rieng-cho-khach-tre-13583.htm</t>
  </si>
  <si>
    <t xml:space="preserve">Thời hạn đã nâng lên 35 năm sau đó</t>
  </si>
  <si>
    <t xml:space="preserve">#1 MB gói khác</t>
  </si>
  <si>
    <t xml:space="preserve">Có gói MB cho vay tới 420 tháng</t>
  </si>
  <si>
    <t xml:space="preserve">không rõ</t>
  </si>
  <si>
    <t xml:space="preserve">Tổng hợp</t>
  </si>
  <si>
    <t xml:space="preserve">https://wiki.batdongsan.com.vn/wiki/cac-goi-vay-ngan-hang-mb-bank-809784</t>
  </si>
  <si>
    <t xml:space="preserve">Nguồn tổng hợp — cần MB xác nhận</t>
  </si>
  <si>
    <t xml:space="preserve">#1b tuổi tối đa MB</t>
  </si>
  <si>
    <t xml:space="preserve">Tuổi khi kết thúc khoản vay ≤ 70 (MB)</t>
  </si>
  <si>
    <t xml:space="preserve">https://thebank.vn/vay-the-chap/cho-vay-mua-can-ho-nha-dat-du-an-ngan-hang-mbbank-40.html</t>
  </si>
  <si>
    <t xml:space="preserve">Mâu thuẫn với mốc 75 trong plan → xin MB Vạn Phúc xác nhận</t>
  </si>
  <si>
    <t xml:space="preserve">#1b đối chiếu</t>
  </si>
  <si>
    <t xml:space="preserve">PVcomBank: từ đủ 18 và không quá 75 tuổi khi kết thúc thời hạn cấp tín dụng</t>
  </si>
  <si>
    <t xml:space="preserve">https://www.pvcombank.com.vn/tin-tuc/cam-nang-tai-chinh/vay-mua-nha-tra-gop</t>
  </si>
  <si>
    <t xml:space="preserve">Mốc 75 có thật nhưng ở ngân hàng khác</t>
  </si>
  <si>
    <t xml:space="preserve">Techcombank: không quá 65 tuổi khi tất toán</t>
  </si>
  <si>
    <t xml:space="preserve">https://techcombank.com/thong-tin/blog/dieu-kien-vay-the-chap</t>
  </si>
  <si>
    <t xml:space="preserve">#1c phí trả trước hạn</t>
  </si>
  <si>
    <t xml:space="preserve">Một gói MB: năm 1–2: 2,5%; năm 3: 2%; năm 4: 1,5%; năm 5: 1%; từ năm 6 miễn phí</t>
  </si>
  <si>
    <t xml:space="preserve">https://wiki.batdongsan.com.vn/wiki/lai-suat-ngan-hang-mbbank-evr-803484</t>
  </si>
  <si>
    <t xml:space="preserve">Khác mức phẳng 1% × 5 năm trong to-do → đối chiếu văn bản Vạn Phúc</t>
  </si>
  <si>
    <t xml:space="preserve">#2 VCB Nhà Mới Thành Đạt</t>
  </si>
  <si>
    <t xml:space="preserve">Khách 20–35 tuổi; vay tối đa 70% giá trị nhà (50% nếu thuê mua); tới 40 năm; miễn trả gốc 5 năm đầu; tối đa 5 tỷ; thả nổi = LS huy động 24 tháng + 3%</t>
  </si>
  <si>
    <t xml:space="preserve">20/05/2025</t>
  </si>
  <si>
    <t xml:space="preserve">Báo chí (CafeF)</t>
  </si>
  <si>
    <t xml:space="preserve">https://cafef.vn/lai-suat-cho-vay-mua-nha-tai-vietcombank-vietinbank-agribank-bidv-thap-nhat-bao-nhieu-188250520101155192.chn</t>
  </si>
  <si>
    <t xml:space="preserve">Trang sản phẩm: https://www.vietcombank.com.vn/vi-VN/KHCN/SPDV/Vay/Nha-moi-thanh-dat</t>
  </si>
  <si>
    <t xml:space="preserve">#2 VCB vay mua nhà dự án</t>
  </si>
  <si>
    <t xml:space="preserve">Tối đa 70% nếu thế chấp chính căn nhà định mua; tới 100% nếu thế chấp tài sản khác; tối đa 20 năm</t>
  </si>
  <si>
    <t xml:space="preserve">cũ</t>
  </si>
  <si>
    <t xml:space="preserve">https://banchungcusaigon.com.vn/vay-mua-bat-dong-san-tu-vietcombank.html</t>
  </si>
  <si>
    <t xml:space="preserve">Thông tin cũ — LTV phụ thuộc loại tài sản bảo đảm</t>
  </si>
  <si>
    <t xml:space="preserve">#2 VCB gói 20.000 tỷ</t>
  </si>
  <si>
    <t xml:space="preserve">Thời hạn tới 35 năm; tỷ lệ cho vay có thể tới 100% giá trị BĐS tuỳ hồ sơ</t>
  </si>
  <si>
    <t xml:space="preserve">https://phapluat.suckhoedoisong.vn/vietcombank-mo-goi-tin-dung-20000-ty-dong-thi-truong-ha-lai-suat-vay-mua-nha-toi-1nam-284865.html</t>
  </si>
  <si>
    <t xml:space="preserve">Kết luận: 'LTV 100%' không sai ngân hàng mà là khác sản phẩm/khác TSBĐ</t>
  </si>
  <si>
    <t xml:space="preserve">#2 PDF plan trích</t>
  </si>
  <si>
    <t xml:space="preserve">20260729_Thong-bao-lai-suat-2026-thang-6.pdf — theo tên là thông báo LÃI SUẤT</t>
  </si>
  <si>
    <t xml:space="preserve">07/2026</t>
  </si>
  <si>
    <t xml:space="preserve">https://www.vietcombank.com.vn/-/media/Project/VCB-Sites/VCB/Tin-tuc/2026/Vietcombank/Vietcombank_202607/Vietcombank_20260721/20260729_Thong-bao-lai-suat-2026-thang-6.pdf</t>
  </si>
  <si>
    <t xml:space="preserve">Không mở được trong phiên này; loại văn bản này thường không có LTV → khả năng trích nhầm</t>
  </si>
  <si>
    <t xml:space="preserve">#2 VCB lãi suất cơ sở</t>
  </si>
  <si>
    <t xml:space="preserve">Thông báo lãi suất cơ sở cho vay trung dài hạn (03/2026)</t>
  </si>
  <si>
    <t xml:space="preserve">16/03/2026</t>
  </si>
  <si>
    <t xml:space="preserve">https://www.vietcombank.com.vn/vi-VN/Trang-thong-tin-dien-tu/Articles/2026/03/16/Thong-bao-LSCS-cho-vay-trung-dai-han</t>
  </si>
  <si>
    <t xml:space="preserve">#6 Mặt bằng lãi suất cho vay (để kiểm tra std 0,75 điểm % của lãi thả nổi)</t>
  </si>
  <si>
    <t xml:space="preserve">LS cho vay mới BQ</t>
  </si>
  <si>
    <t xml:space="preserve">6,96%/năm cuối 2024; giữ quanh 6,96% đến cuối 11/2025</t>
  </si>
  <si>
    <t xml:space="preserve">11/2025</t>
  </si>
  <si>
    <t xml:space="preserve">Báo chí trích NHNN</t>
  </si>
  <si>
    <t xml:space="preserve">https://mekongasean.vn/lai-suat-cho-vay-binh-quan-giu-on-dinh-quanh-muc-696nam-50364.html</t>
  </si>
  <si>
    <t xml:space="preserve">Khoản vay MỚI, mọi kỳ hạn — không phải lãi vay mua nhà thả nổi</t>
  </si>
  <si>
    <t xml:space="preserve">~6,34%/năm giữa 04/2025 (giảm 0,6 điểm % so với cuối 2024)</t>
  </si>
  <si>
    <t xml:space="preserve">04/2025</t>
  </si>
  <si>
    <t xml:space="preserve">https://www.dnse.com.vn/senses/tin-tuc/lai-suat-cho-vay-ang-re-ky-luc-35086402</t>
  </si>
  <si>
    <t xml:space="preserve">LS cho vay BQ theo quý</t>
  </si>
  <si>
    <t xml:space="preserve">Thấp nhất 2020–2022 là 7,9%/năm (quý I/2022) — số liệu FiinPro</t>
  </si>
  <si>
    <t xml:space="preserve">LS cho vay BQ (cũ + mới)</t>
  </si>
  <si>
    <t xml:space="preserve">8,1–10,5%/năm (NHTM Nhà nước &amp; cổ phần)</t>
  </si>
  <si>
    <t xml:space="preserve">https://cafef.vn/so-lieu-lai-suat-cho-vay-lai-suat-huy-dong-moi-nhat-cua-he-thong-ngan-hang-188260721204319885.chn</t>
  </si>
  <si>
    <t xml:space="preserve">Bao gồm dư nợ cũ → biên rộng do khác sản phẩm, không phải biến động theo thời gian</t>
  </si>
  <si>
    <t xml:space="preserve">8,4–10,7%/năm, tăng 0,2 điểm % so với tháng trước</t>
  </si>
  <si>
    <t xml:space="preserve">chưa xác minh ngày</t>
  </si>
  <si>
    <t xml:space="preserve">https://vietnamfinance.vn/lai-suat-cho-vay-trung-binh-len-107-nam-thuc-te-khach-vay-cham-dinh-18-d150849.html</t>
  </si>
  <si>
    <t xml:space="preserve">Cần kiểm tra ngày đăng trước khi dùng</t>
  </si>
  <si>
    <t xml:space="preserve">Kiểm tra std theo thời gian</t>
  </si>
  <si>
    <t xml:space="preserve">Std LS huy động &gt;12 tháng (mức cao nhất) 2016–2026 = 0,63 điểm % (sheet Savings_hist)</t>
  </si>
  <si>
    <t xml:space="preserve">Tính toán</t>
  </si>
  <si>
    <t xml:space="preserve">Lãi thả nổi = LS tham chiếu (thường là LS huy động) + biên → std ~0,6–0,8 ủng hộ 0,75 của plan. Cách (max−min)/4 trên khoảng cắt ngang KHÔNG đúng khái niệm</t>
  </si>
  <si>
    <t xml:space="preserve">#7 Bằng chứng về tăng giá thuê căn hộ Hà Nội</t>
  </si>
  <si>
    <t xml:space="preserve">Giá thuê vs giá nhà</t>
  </si>
  <si>
    <t xml:space="preserve">Giá thuê chung cư ~ổn định quanh 13 triệu/căn trong 3 năm; lợi suất cho thuê giảm từ &gt;4% (Q1/2023) xuống ~3% (Q1/2025); năm 2024 tốc độ tăng giá thuê chỉ ~một nửa tăng giá nhà</t>
  </si>
  <si>
    <t xml:space="preserve">Báo chí (Vietnambiz)</t>
  </si>
  <si>
    <t xml:space="preserve">https://vietnambiz.vn/loi-suat-cho-thue-chung-cu-dang-giam-dan-202541323742923.htm</t>
  </si>
  <si>
    <t xml:space="preserve">Bằng chứng gần nhất; không ủng hộ 7%/năm nếu giá thuê gần như đi ngang</t>
  </si>
  <si>
    <t xml:space="preserve">Giá thuê Q1/2025</t>
  </si>
  <si>
    <t xml:space="preserve">Giá thuê chung cư Hà Nội tăng nhẹ trong quý I/2025</t>
  </si>
  <si>
    <t xml:space="preserve">Q1/2025</t>
  </si>
  <si>
    <t xml:space="preserve">Tổng hợp (Batdongsan)</t>
  </si>
  <si>
    <t xml:space="preserve">https://wiki.batdongsan.com.vn/tin-tuc/gia-thue-chung-cu-Ha-Noi-tang-nhe-trong-quy-1-2025-cd-hn-832002</t>
  </si>
  <si>
    <t xml:space="preserve">Hiệp hội</t>
  </si>
  <si>
    <t xml:space="preserve">VARS: bài về giá thuê căn hộ tăng cao</t>
  </si>
  <si>
    <t xml:space="preserve">https://vars.com.vn/tin-tuc/gia-thue-can-ho-tang-cao-n1897</t>
  </si>
  <si>
    <t xml:space="preserve">Chưa trích được con số cụ thể</t>
  </si>
  <si>
    <t xml:space="preserve">Kết luận cho mô hình</t>
  </si>
  <si>
    <t xml:space="preserve">Không có chuỗi giá thuê căn hộ thường của Savills/CBRE (chỉ có căn hộ dịch vụ). Nếu giữ 7% thì bắt buộc bật income growth; nếu rent growth &gt; income growth kéo dài 30 năm, RENT tự động mất an toàn cuối kỳ</t>
  </si>
  <si>
    <t xml:space="preserve">Phân tích</t>
  </si>
  <si>
    <t xml:space="preserve">Xem docs/KET_QUA_TODO.md #7</t>
  </si>
  <si>
    <t xml:space="preserve">#3 Bằng chứng thị trường về tăng giá căn hộ Hà Nội</t>
  </si>
  <si>
    <t xml:space="preserve">Savills Q1/2025</t>
  </si>
  <si>
    <t xml:space="preserve">Giá sơ cấp +32% YoY; giá thứ cấp giảm nhẹ lần đầu sau 5 năm</t>
  </si>
  <si>
    <t xml:space="preserve">Báo cáo chuyên ngành</t>
  </si>
  <si>
    <t xml:space="preserve">https://vn.savills.com.vn/research_articles/164027/223536-0</t>
  </si>
  <si>
    <t xml:space="preserve">Tăng nóng tập trung ở sơ cấp</t>
  </si>
  <si>
    <t xml:space="preserve">Batdongsan qua Vietnambiz</t>
  </si>
  <si>
    <t xml:space="preserve">Giá chung cư Hà Nội +14% năm 2023, +39% năm 2024; 2025 tiếp tục tăng nhưng chậm lại</t>
  </si>
  <si>
    <t xml:space="preserve">10/2025</t>
  </si>
  <si>
    <t xml:space="preserve">https://vietnambiz.vn/nhung-khu-vuc-tang-gia-chung-cu-manh-tai-ha-noi-202510985919392.htm</t>
  </si>
  <si>
    <t xml:space="preserve">Giai đoạn 2023–2025 là chu kỳ nóng, không đại diện 30 năm</t>
  </si>
  <si>
    <t xml:space="preserve">Dữ liệu của team</t>
  </si>
  <si>
    <t xml:space="preserve">CAGR 2016–2025 = 12,66%; 2016–2020 = 3,64%; 2020–2025 = 20,43% (sheet Property_CAGR)</t>
  </si>
  <si>
    <t xml:space="preserve">18–20% chỉ khớp 5 năm gần nhất</t>
  </si>
  <si>
    <t xml:space="preserve">#9 Lãi suất tiết kiệm hiện tại theo ngân hàng — MẪU ĐỂ TEAM ĐIỀN từ trang chính thức</t>
  </si>
  <si>
    <t xml:space="preserve">Các nguồn báo chí mâu thuẫn nhau → team điền bảng dưới từ biểu lãi suất CHÍNH THỨC của từng ngân hàng (ghi ngày tra cứu + link).</t>
  </si>
  <si>
    <t xml:space="preserve">Báo chí 02/2026</t>
  </si>
  <si>
    <t xml:space="preserve">Vietcombank: kỳ hạn 12–18 tháng 5,2%; 24 tháng 5,3%</t>
  </si>
  <si>
    <t xml:space="preserve">22/02/2026</t>
  </si>
  <si>
    <t xml:space="preserve">https://cafef.vn/nam-moi-gui-tiet-kiem-tai-agribank-vietcombank-bidv-vietinbank-cao-nhat-bao-nhieu-188260222210249665.chn</t>
  </si>
  <si>
    <t xml:space="preserve">Báo chí 03/2026</t>
  </si>
  <si>
    <t xml:space="preserve">Big4 tăng lãi suất: kỳ hạn 12–18 tháng từ 5,2% lên 5,9%</t>
  </si>
  <si>
    <t xml:space="preserve">03/2026</t>
  </si>
  <si>
    <t xml:space="preserve">Báo chí (Znews)</t>
  </si>
  <si>
    <t xml:space="preserve">https://znews.vn/vietcombank-vietinbank-bidv-agribank-cung-tang-lai-suat-tiet-kiem-post1638131.html</t>
  </si>
  <si>
    <t xml:space="preserve">Báo chí (ngày chưa rõ)</t>
  </si>
  <si>
    <t xml:space="preserve">Agribank/BIDV/VCB/VietinBank cùng niêm yết 6,8% kỳ hạn 12 tháng</t>
  </si>
  <si>
    <t xml:space="preserve">chưa rõ</t>
  </si>
  <si>
    <t xml:space="preserve">https://giadinh.suckhoedoisong.vn/lai-suat-agribank-vietinbank-vietcombank-bidv-moi-nhat-gui-tiet-kiem-400-trieu-dong-vao-agribank-nhan-bao-nhieu-tien</t>
  </si>
  <si>
    <t xml:space="preserve">MÂU THUẪN với 2 dòng trên → không dùng khi chưa rõ ngày</t>
  </si>
  <si>
    <t xml:space="preserve">Bảng cần điền (ô vàng). Dòng 12 là VÍ DỤ định dạng — xoá khi điền.</t>
  </si>
  <si>
    <t xml:space="preserve">Ngân hàng</t>
  </si>
  <si>
    <t xml:space="preserve">6 tháng</t>
  </si>
  <si>
    <t xml:space="preserve">12 tháng</t>
  </si>
  <si>
    <t xml:space="preserve">18 tháng</t>
  </si>
  <si>
    <t xml:space="preserve">24 tháng</t>
  </si>
  <si>
    <t xml:space="preserve">Ngày tra cứu</t>
  </si>
  <si>
    <t xml:space="preserve">Link biểu lãi suất chính thức</t>
  </si>
  <si>
    <t xml:space="preserve">VÍ DỤ: Vietcombank</t>
  </si>
  <si>
    <t xml:space="preserve">(ví dụ lấy từ CafeF — thay bằng link vietcombank.com.vn)</t>
  </si>
  <si>
    <t xml:space="preserve">Vietcombank</t>
  </si>
  <si>
    <t xml:space="preserve">BIDV</t>
  </si>
  <si>
    <t xml:space="preserve">VietinBank</t>
  </si>
  <si>
    <t xml:space="preserve">Agribank</t>
  </si>
  <si>
    <t xml:space="preserve">MB Bank</t>
  </si>
  <si>
    <t xml:space="preserve">Tổng hợp 4 kênh đầu tư + độ lệch chuẩn Monte Carlo (giá trị đề xuất, chờ Coordinator + Finance duyệt)</t>
  </si>
  <si>
    <t xml:space="preserve">Ô xanh lá = link tới sheet tính toán. Sampling: per_path = rút 1 lần/đường; per_year = rút mỗi năm.</t>
  </si>
  <si>
    <t xml:space="preserve">Kênh / biến</t>
  </si>
  <si>
    <t xml:space="preserve">Mean (%/năm)</t>
  </si>
  <si>
    <t xml:space="preserve">Std (%/năm)</t>
  </si>
  <si>
    <t xml:space="preserve">Sampling</t>
  </si>
  <si>
    <t xml:space="preserve">Cửa sổ dữ liệu</t>
  </si>
  <si>
    <t xml:space="preserve">n</t>
  </si>
  <si>
    <t xml:space="preserve">Trạng thái</t>
  </si>
  <si>
    <t xml:space="preserve">Lưu ý</t>
  </si>
  <si>
    <t xml:space="preserve">Tiết kiệm (6–12 tháng, mức cao nhất)</t>
  </si>
  <si>
    <t xml:space="preserve">per_path</t>
  </si>
  <si>
    <t xml:space="preserve">cuối năm 2016–2026</t>
  </si>
  <si>
    <t xml:space="preserve">Đề xuất</t>
  </si>
  <si>
    <t xml:space="preserve">Lệch lên (mức cao nhất); chờ snapshot #9</t>
  </si>
  <si>
    <t xml:space="preserve">Chứng khoán (VN-Index)</t>
  </si>
  <si>
    <t xml:space="preserve">per_year</t>
  </si>
  <si>
    <t xml:space="preserve">tháng 05/2021–08/2026</t>
  </si>
  <si>
    <t xml:space="preserve">Cửa sổ ngắn; chưa gồm cổ tức</t>
  </si>
  <si>
    <t xml:space="preserve">Trái phiếu (TPCP 10 năm)</t>
  </si>
  <si>
    <t xml:space="preserve">Giữ đến đáo hạn</t>
  </si>
  <si>
    <t xml:space="preserve">Vàng (SJC)</t>
  </si>
  <si>
    <t xml:space="preserve">tháng 01/2016–09/2026</t>
  </si>
  <si>
    <t xml:space="preserve">Giai đoạn tăng bất thường</t>
  </si>
  <si>
    <t xml:space="preserve">Tăng thu nhập (NSO)</t>
  </si>
  <si>
    <t xml:space="preserve">2019–2024</t>
  </si>
  <si>
    <t xml:space="preserve">Biến MỚI — bắt buộc nếu bật rent growth</t>
  </si>
  <si>
    <t xml:space="preserve">Tăng chi phí sinh hoạt (CPI)</t>
  </si>
  <si>
    <t xml:space="preserve">—</t>
  </si>
  <si>
    <t xml:space="preserve">2016–2025</t>
  </si>
  <si>
    <t xml:space="preserve">Biến MỚI; không random hoá</t>
  </si>
  <si>
    <t xml:space="preserve">Lãi thả nổi tham chiếu</t>
  </si>
  <si>
    <t xml:space="preserve">Đã chốt</t>
  </si>
  <si>
    <t xml:space="preserve">Plan B8</t>
  </si>
  <si>
    <t xml:space="preserve">Tăng giá BĐS</t>
  </si>
  <si>
    <t xml:space="preserve">Mean chờ #3</t>
  </si>
  <si>
    <t xml:space="preserve">Plan B8; xem Property_CAGR</t>
  </si>
  <si>
    <t xml:space="preserve">Tăng giá thuê</t>
  </si>
  <si>
    <t xml:space="preserve">Mean chờ #7</t>
  </si>
  <si>
    <t xml:space="preserve">Plan B8; xem Gia_thue</t>
  </si>
  <si>
    <t xml:space="preserve">#13 QA toạ độ PROJECT_MASTER</t>
  </si>
  <si>
    <t xml:space="preserve">3 dự án Hà Đông trùng hệt toạ độ (20.96069, 105.742059); toạ độ mới từ Google Maps/Places (tra cứu 29/09/2026) — cần team xác minh tòa cụ thể.</t>
  </si>
  <si>
    <t xml:space="preserve">project_id</t>
  </si>
  <si>
    <t xml:space="preserve">Tên dự án</t>
  </si>
  <si>
    <t xml:space="preserve">Lat cũ</t>
  </si>
  <si>
    <t xml:space="preserve">Long cũ</t>
  </si>
  <si>
    <t xml:space="preserve">Lat mới</t>
  </si>
  <si>
    <t xml:space="preserve">Long mới</t>
  </si>
  <si>
    <t xml:space="preserve">Lệch (km)</t>
  </si>
  <si>
    <t xml:space="preserve">Nguồn toạ độ mới</t>
  </si>
  <si>
    <t xml:space="preserve">HD072</t>
  </si>
  <si>
    <t xml:space="preserve">V8 The Vesta</t>
  </si>
  <si>
    <t xml:space="preserve">Google Maps/Places: 'Toà V8 The Vesta' (Phú Lương)</t>
  </si>
  <si>
    <t xml:space="preserve">HD073</t>
  </si>
  <si>
    <t xml:space="preserve">Van Phu Victoria</t>
  </si>
  <si>
    <t xml:space="preserve">Google Maps/Places: 'Toà Văn Phú Victoria' (KĐT Văn Phú); tòa V1 ở 20.9601278, 105.7678317</t>
  </si>
  <si>
    <t xml:space="preserve">HD074</t>
  </si>
  <si>
    <t xml:space="preserve">Vinaconex 21 Apartment</t>
  </si>
  <si>
    <t xml:space="preserve">Google Maps/Places: 'Chung cư Vinaconex 21', 804 Quang Trung</t>
  </si>
  <si>
    <t xml:space="preserve">beltway_zone lưu dạng SỐ (cần chuẩn hoá thành chuỗi '4'): 7 dự án</t>
  </si>
  <si>
    <t xml:space="preserve">HD062</t>
  </si>
  <si>
    <t xml:space="preserve">Usilk City 103</t>
  </si>
  <si>
    <t xml:space="preserve">HD063</t>
  </si>
  <si>
    <t xml:space="preserve">Usilk City 104</t>
  </si>
  <si>
    <t xml:space="preserve">HD064</t>
  </si>
  <si>
    <t xml:space="preserve">V1 The Terra An Hung</t>
  </si>
  <si>
    <t xml:space="preserve">HD065</t>
  </si>
  <si>
    <t xml:space="preserve">V1 The Vesta</t>
  </si>
  <si>
    <t xml:space="preserve">HD066</t>
  </si>
  <si>
    <t xml:space="preserve">V3 The Terra An Hung</t>
  </si>
  <si>
    <t xml:space="preserve">HD067</t>
  </si>
  <si>
    <t xml:space="preserve">V3 The Vesta</t>
  </si>
  <si>
    <t xml:space="preserve">HD068</t>
  </si>
  <si>
    <t xml:space="preserve">V4 The Vesta</t>
  </si>
  <si>
    <t xml:space="preserve">Công thức bathrooms (Google Sheets, cột J = bathrooms; CHƯA chạy thử trên Sheet thật):</t>
  </si>
  <si>
    <t xml:space="preserve">=ARRAYFORMULA(IF(A2:A="","",IF((TRIM(J2:J)="")+(UPPER(TRIM(J2:J))="N/A"),"Không rõ",J2:J)))</t>
  </si>
  <si>
    <t xml:space="preserve">OR() không chạy theo từng phần tử trong ARRAYFORMULA → dùng phép cộng (+). Plan có 2 công thức cho ra 2 nhãn khác nhau → cần chốt 1 nhãn. Hiện có 9 ô 'N/A' dạng text + 4 ô trống.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</si>
</sst>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0"/>
    <numFmt numFmtId="167" formatCode="0.00%"/>
    <numFmt numFmtId="168" formatCode="0.0000"/>
    <numFmt numFmtId="169" formatCode="yyyy\-mm\-dd"/>
    <numFmt numFmtId="170" formatCode="#,##0"/>
    <numFmt numFmtId="171" formatCode="@"/>
    <numFmt numFmtId="172" formatCode="0.0%"/>
    <numFmt numFmtId="173" formatCode="#,##0.0\x"/>
    <numFmt numFmtId="174" formatCode="#,##0.00\x"/>
    <numFmt numFmtId="175" formatCode="0.000000"/>
    <numFmt numFmtId="17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3" t="s">
        <v>12</v>
      </c>
    </row>
    <row r="2" customFormat="false" ht="15" hidden="false" customHeight="false" outlineLevel="0" collapsed="false">
      <c r="A2" s="4" t="s">
        <v>13</v>
      </c>
    </row>
    <row r="4" customFormat="false" ht="23.85" hidden="false" customHeight="fals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G4" s="6" t="s">
        <v>19</v>
      </c>
      <c r="H4" s="6" t="s">
        <v>20</v>
      </c>
    </row>
    <row r="5" customFormat="false" ht="15" hidden="false" customHeight="false" outlineLevel="0" collapsed="false">
      <c r="A5" s="7" t="s">
        <v>21</v>
      </c>
      <c r="B5" s="2" t="s">
        <v>22</v>
      </c>
      <c r="C5" s="8" t="n">
        <v>1328.05</v>
      </c>
      <c r="G5" s="2" t="s">
        <v>23</v>
      </c>
      <c r="H5" s="9" t="n">
        <f aca="false">COUNT(D6:D68)</f>
        <v>63</v>
      </c>
    </row>
    <row r="6" customFormat="false" ht="15" hidden="false" customHeight="false" outlineLevel="0" collapsed="false">
      <c r="A6" s="7" t="s">
        <v>24</v>
      </c>
      <c r="B6" s="2" t="s">
        <v>25</v>
      </c>
      <c r="C6" s="8" t="n">
        <v>1408.55</v>
      </c>
      <c r="D6" s="10" t="n">
        <f aca="false">C6/C5-1</f>
        <v>0.0606151876811867</v>
      </c>
      <c r="E6" s="11" t="n">
        <f aca="false">LN(C6/C5)</f>
        <v>0.0588491055138821</v>
      </c>
      <c r="G6" s="2" t="s">
        <v>26</v>
      </c>
      <c r="H6" s="10" t="n">
        <f aca="false">AVERAGE(D6:D68)</f>
        <v>0.00665870690797409</v>
      </c>
    </row>
    <row r="7" customFormat="false" ht="15" hidden="false" customHeight="false" outlineLevel="0" collapsed="false">
      <c r="A7" s="7" t="s">
        <v>27</v>
      </c>
      <c r="B7" s="2" t="s">
        <v>28</v>
      </c>
      <c r="C7" s="8" t="n">
        <v>1310.05</v>
      </c>
      <c r="D7" s="10" t="n">
        <f aca="false">C7/C6-1</f>
        <v>-0.0699300699300699</v>
      </c>
      <c r="E7" s="11" t="n">
        <f aca="false">LN(C7/C6)</f>
        <v>-0.0724955020381535</v>
      </c>
      <c r="G7" s="2" t="s">
        <v>29</v>
      </c>
      <c r="H7" s="10" t="n">
        <f aca="false">STDEV(D6:D68)</f>
        <v>0.0557061981000524</v>
      </c>
    </row>
    <row r="8" customFormat="false" ht="15" hidden="false" customHeight="false" outlineLevel="0" collapsed="false">
      <c r="A8" s="7" t="s">
        <v>30</v>
      </c>
      <c r="B8" s="2" t="s">
        <v>31</v>
      </c>
      <c r="C8" s="8" t="n">
        <v>1331.47</v>
      </c>
      <c r="D8" s="10" t="n">
        <f aca="false">C8/C7-1</f>
        <v>0.0163505209724821</v>
      </c>
      <c r="E8" s="11" t="n">
        <f aca="false">LN(C8/C7)</f>
        <v>0.0162182906143118</v>
      </c>
      <c r="G8" s="2" t="s">
        <v>32</v>
      </c>
      <c r="H8" s="10" t="n">
        <f aca="false">H6*12</f>
        <v>0.0799044828956891</v>
      </c>
    </row>
    <row r="9" customFormat="false" ht="15" hidden="false" customHeight="false" outlineLevel="0" collapsed="false">
      <c r="A9" s="7" t="s">
        <v>33</v>
      </c>
      <c r="B9" s="2" t="s">
        <v>34</v>
      </c>
      <c r="C9" s="8" t="n">
        <v>1342.06</v>
      </c>
      <c r="D9" s="10" t="n">
        <f aca="false">C9/C8-1</f>
        <v>0.00795361517721016</v>
      </c>
      <c r="E9" s="11" t="n">
        <f aca="false">LN(C9/C8)</f>
        <v>0.00792215190110091</v>
      </c>
      <c r="G9" s="2" t="s">
        <v>35</v>
      </c>
      <c r="H9" s="10" t="n">
        <f aca="false">H7*SQRT(12)</f>
        <v>0.192971930811575</v>
      </c>
    </row>
    <row r="10" customFormat="false" ht="15" hidden="false" customHeight="false" outlineLevel="0" collapsed="false">
      <c r="A10" s="7" t="s">
        <v>36</v>
      </c>
      <c r="B10" s="2" t="s">
        <v>37</v>
      </c>
      <c r="C10" s="8" t="n">
        <v>1444.27</v>
      </c>
      <c r="D10" s="10" t="n">
        <f aca="false">C10/C9-1</f>
        <v>0.0761590390891616</v>
      </c>
      <c r="E10" s="11" t="n">
        <f aca="false">LN(C10/C9)</f>
        <v>0.0733982566623307</v>
      </c>
      <c r="G10" s="2" t="s">
        <v>38</v>
      </c>
      <c r="H10" s="10" t="n">
        <f aca="false">(C68/C5)^(12/H5)-1</f>
        <v>0.0632050863920664</v>
      </c>
    </row>
    <row r="11" customFormat="false" ht="15" hidden="false" customHeight="false" outlineLevel="0" collapsed="false">
      <c r="A11" s="7" t="s">
        <v>39</v>
      </c>
      <c r="B11" s="2" t="s">
        <v>40</v>
      </c>
      <c r="C11" s="8" t="n">
        <v>1478.44</v>
      </c>
      <c r="D11" s="10" t="n">
        <f aca="false">C11/C10-1</f>
        <v>0.0236590111267285</v>
      </c>
      <c r="E11" s="11" t="n">
        <f aca="false">LN(C11/C10)</f>
        <v>0.0233834742149672</v>
      </c>
      <c r="G11" s="2" t="s">
        <v>41</v>
      </c>
      <c r="H11" s="10" t="n">
        <f aca="false">AVERAGE(E6:E68)*12</f>
        <v>0.0612880124461496</v>
      </c>
    </row>
    <row r="12" customFormat="false" ht="15" hidden="false" customHeight="false" outlineLevel="0" collapsed="false">
      <c r="A12" s="7" t="s">
        <v>42</v>
      </c>
      <c r="B12" s="2" t="s">
        <v>43</v>
      </c>
      <c r="C12" s="8" t="n">
        <v>1498.28</v>
      </c>
      <c r="D12" s="10" t="n">
        <f aca="false">C12/C11-1</f>
        <v>0.0134195503368415</v>
      </c>
      <c r="E12" s="11" t="n">
        <f aca="false">LN(C12/C11)</f>
        <v>0.0133303056999556</v>
      </c>
    </row>
    <row r="13" customFormat="false" ht="15" hidden="false" customHeight="false" outlineLevel="0" collapsed="false">
      <c r="A13" s="7" t="s">
        <v>44</v>
      </c>
      <c r="B13" s="2" t="s">
        <v>45</v>
      </c>
      <c r="C13" s="8" t="n">
        <v>1478.96</v>
      </c>
      <c r="D13" s="10" t="n">
        <f aca="false">C13/C12-1</f>
        <v>-0.0128947860213043</v>
      </c>
      <c r="E13" s="11" t="n">
        <f aca="false">LN(C13/C12)</f>
        <v>-0.012978645454227</v>
      </c>
      <c r="G13" s="6" t="s">
        <v>46</v>
      </c>
      <c r="H13" s="6" t="s">
        <v>47</v>
      </c>
      <c r="I13" s="6" t="s">
        <v>48</v>
      </c>
      <c r="J13" s="6" t="s">
        <v>49</v>
      </c>
      <c r="K13" s="6" t="s">
        <v>50</v>
      </c>
    </row>
    <row r="14" customFormat="false" ht="15" hidden="false" customHeight="false" outlineLevel="0" collapsed="false">
      <c r="A14" s="7" t="s">
        <v>51</v>
      </c>
      <c r="B14" s="2" t="s">
        <v>52</v>
      </c>
      <c r="C14" s="8" t="n">
        <v>1490.13</v>
      </c>
      <c r="D14" s="10" t="n">
        <f aca="false">C14/C13-1</f>
        <v>0.00755260453291506</v>
      </c>
      <c r="E14" s="11" t="n">
        <f aca="false">LN(C14/C13)</f>
        <v>0.00752422641154895</v>
      </c>
      <c r="G14" s="2" t="s">
        <v>53</v>
      </c>
      <c r="H14" s="12" t="n">
        <f aca="false">INDEX($C$5:$C$68,MATCH("2024-12",$B$5:$B$68,0))</f>
        <v>1266.78</v>
      </c>
      <c r="I14" s="8" t="n">
        <v>1266.78</v>
      </c>
      <c r="J14" s="12" t="n">
        <f aca="false">H14-I14</f>
        <v>0</v>
      </c>
      <c r="K14" s="2" t="s">
        <v>54</v>
      </c>
    </row>
    <row r="15" customFormat="false" ht="15" hidden="false" customHeight="false" outlineLevel="0" collapsed="false">
      <c r="A15" s="7" t="s">
        <v>55</v>
      </c>
      <c r="B15" s="2" t="s">
        <v>56</v>
      </c>
      <c r="C15" s="8" t="n">
        <v>1492.12</v>
      </c>
      <c r="D15" s="10" t="n">
        <f aca="false">C15/C14-1</f>
        <v>0.00133545395368184</v>
      </c>
      <c r="E15" s="11" t="n">
        <f aca="false">LN(C15/C14)</f>
        <v>0.00133456302815577</v>
      </c>
      <c r="G15" s="2" t="s">
        <v>57</v>
      </c>
      <c r="H15" s="12" t="n">
        <f aca="false">INDEX($C$5:$C$68,MATCH("2025-12",$B$5:$B$68,0))</f>
        <v>1784.49</v>
      </c>
      <c r="I15" s="8" t="n">
        <v>1784.49</v>
      </c>
      <c r="J15" s="12" t="n">
        <f aca="false">H15-I15</f>
        <v>0</v>
      </c>
      <c r="K15" s="2" t="s">
        <v>58</v>
      </c>
    </row>
    <row r="16" customFormat="false" ht="15" hidden="false" customHeight="false" outlineLevel="0" collapsed="false">
      <c r="A16" s="7" t="s">
        <v>59</v>
      </c>
      <c r="B16" s="2" t="s">
        <v>60</v>
      </c>
      <c r="C16" s="8" t="n">
        <v>1366.8</v>
      </c>
      <c r="D16" s="10" t="n">
        <f aca="false">C16/C15-1</f>
        <v>-0.0839878830120902</v>
      </c>
      <c r="E16" s="11" t="n">
        <f aca="false">LN(C16/C15)</f>
        <v>-0.087725686242758</v>
      </c>
      <c r="G16" s="2" t="s">
        <v>61</v>
      </c>
      <c r="H16" s="10" t="n">
        <f aca="false">H15/H14-1</f>
        <v>0.408681854781414</v>
      </c>
      <c r="I16" s="13" t="n">
        <v>0.4087</v>
      </c>
      <c r="J16" s="10" t="n">
        <f aca="false">H16-I16</f>
        <v>-1.8145218585619E-005</v>
      </c>
      <c r="K16" s="2" t="s">
        <v>62</v>
      </c>
    </row>
    <row r="17" customFormat="false" ht="15" hidden="false" customHeight="false" outlineLevel="0" collapsed="false">
      <c r="A17" s="7" t="s">
        <v>63</v>
      </c>
      <c r="B17" s="2" t="s">
        <v>64</v>
      </c>
      <c r="C17" s="8" t="n">
        <v>1292.68</v>
      </c>
      <c r="D17" s="10" t="n">
        <f aca="false">C17/C16-1</f>
        <v>-0.0542288557213929</v>
      </c>
      <c r="E17" s="11" t="n">
        <f aca="false">LN(C17/C16)</f>
        <v>-0.0557546585646921</v>
      </c>
    </row>
    <row r="18" customFormat="false" ht="15" hidden="false" customHeight="false" outlineLevel="0" collapsed="false">
      <c r="A18" s="7" t="s">
        <v>65</v>
      </c>
      <c r="B18" s="2" t="s">
        <v>66</v>
      </c>
      <c r="C18" s="8" t="n">
        <v>1197.6</v>
      </c>
      <c r="D18" s="10" t="n">
        <f aca="false">C18/C17-1</f>
        <v>-0.0735526193644214</v>
      </c>
      <c r="E18" s="11" t="n">
        <f aca="false">LN(C18/C17)</f>
        <v>-0.0763980285710261</v>
      </c>
      <c r="G18" s="4" t="s">
        <v>67</v>
      </c>
    </row>
    <row r="19" customFormat="false" ht="15" hidden="false" customHeight="false" outlineLevel="0" collapsed="false">
      <c r="A19" s="7" t="s">
        <v>68</v>
      </c>
      <c r="B19" s="2" t="s">
        <v>69</v>
      </c>
      <c r="C19" s="8" t="n">
        <v>1206.33</v>
      </c>
      <c r="D19" s="10" t="n">
        <f aca="false">C19/C18-1</f>
        <v>0.00728957915831674</v>
      </c>
      <c r="E19" s="11" t="n">
        <f aca="false">LN(C19/C18)</f>
        <v>0.00726313859214406</v>
      </c>
    </row>
    <row r="20" customFormat="false" ht="15" hidden="false" customHeight="false" outlineLevel="0" collapsed="false">
      <c r="A20" s="7" t="s">
        <v>70</v>
      </c>
      <c r="B20" s="2" t="s">
        <v>71</v>
      </c>
      <c r="C20" s="8" t="n">
        <v>1280.51</v>
      </c>
      <c r="D20" s="10" t="n">
        <f aca="false">C20/C19-1</f>
        <v>0.061492294811536</v>
      </c>
      <c r="E20" s="11" t="n">
        <f aca="false">LN(C20/C19)</f>
        <v>0.0596757433609577</v>
      </c>
    </row>
    <row r="21" customFormat="false" ht="15" hidden="false" customHeight="false" outlineLevel="0" collapsed="false">
      <c r="A21" s="7" t="s">
        <v>72</v>
      </c>
      <c r="B21" s="2" t="s">
        <v>73</v>
      </c>
      <c r="C21" s="8" t="n">
        <v>1132.11</v>
      </c>
      <c r="D21" s="10" t="n">
        <f aca="false">C21/C20-1</f>
        <v>-0.115891324550375</v>
      </c>
      <c r="E21" s="11" t="n">
        <f aca="false">LN(C21/C20)</f>
        <v>-0.12317528787152</v>
      </c>
    </row>
    <row r="22" customFormat="false" ht="15" hidden="false" customHeight="false" outlineLevel="0" collapsed="false">
      <c r="A22" s="7" t="s">
        <v>74</v>
      </c>
      <c r="B22" s="2" t="s">
        <v>75</v>
      </c>
      <c r="C22" s="8" t="n">
        <v>1027.94</v>
      </c>
      <c r="D22" s="10" t="n">
        <f aca="false">C22/C21-1</f>
        <v>-0.0920140269055126</v>
      </c>
      <c r="E22" s="11" t="n">
        <f aca="false">LN(C22/C21)</f>
        <v>-0.0965263486339919</v>
      </c>
    </row>
    <row r="23" customFormat="false" ht="15" hidden="false" customHeight="false" outlineLevel="0" collapsed="false">
      <c r="A23" s="7" t="s">
        <v>76</v>
      </c>
      <c r="B23" s="2" t="s">
        <v>77</v>
      </c>
      <c r="C23" s="8" t="n">
        <v>1048.42</v>
      </c>
      <c r="D23" s="10" t="n">
        <f aca="false">C23/C22-1</f>
        <v>0.0199233418292897</v>
      </c>
      <c r="E23" s="11" t="n">
        <f aca="false">LN(C23/C22)</f>
        <v>0.0197274694025721</v>
      </c>
    </row>
    <row r="24" customFormat="false" ht="15" hidden="false" customHeight="false" outlineLevel="0" collapsed="false">
      <c r="A24" s="7" t="s">
        <v>78</v>
      </c>
      <c r="B24" s="2" t="s">
        <v>79</v>
      </c>
      <c r="C24" s="8" t="n">
        <v>1007.09</v>
      </c>
      <c r="D24" s="10" t="n">
        <f aca="false">C24/C23-1</f>
        <v>-0.0394212243184984</v>
      </c>
      <c r="E24" s="11" t="n">
        <f aca="false">LN(C24/C23)</f>
        <v>-0.0402192848513256</v>
      </c>
    </row>
    <row r="25" customFormat="false" ht="15" hidden="false" customHeight="false" outlineLevel="0" collapsed="false">
      <c r="A25" s="7" t="s">
        <v>80</v>
      </c>
      <c r="B25" s="2" t="s">
        <v>81</v>
      </c>
      <c r="C25" s="8" t="n">
        <v>1111.18</v>
      </c>
      <c r="D25" s="10" t="n">
        <f aca="false">C25/C24-1</f>
        <v>0.103357197469938</v>
      </c>
      <c r="E25" s="11" t="n">
        <f aca="false">LN(C25/C24)</f>
        <v>0.0983575296137878</v>
      </c>
    </row>
    <row r="26" customFormat="false" ht="15" hidden="false" customHeight="false" outlineLevel="0" collapsed="false">
      <c r="A26" s="7" t="s">
        <v>82</v>
      </c>
      <c r="B26" s="2" t="s">
        <v>83</v>
      </c>
      <c r="C26" s="8" t="n">
        <v>1024.68</v>
      </c>
      <c r="D26" s="10" t="n">
        <f aca="false">C26/C25-1</f>
        <v>-0.0778451735992368</v>
      </c>
      <c r="E26" s="11" t="n">
        <f aca="false">LN(C26/C25)</f>
        <v>-0.0810421450105277</v>
      </c>
    </row>
    <row r="27" customFormat="false" ht="15" hidden="false" customHeight="false" outlineLevel="0" collapsed="false">
      <c r="A27" s="7" t="s">
        <v>84</v>
      </c>
      <c r="B27" s="2" t="s">
        <v>85</v>
      </c>
      <c r="C27" s="8" t="n">
        <v>1064.64</v>
      </c>
      <c r="D27" s="10" t="n">
        <f aca="false">C27/C26-1</f>
        <v>0.0389975406956318</v>
      </c>
      <c r="E27" s="11" t="n">
        <f aca="false">LN(C27/C26)</f>
        <v>0.0382563451225968</v>
      </c>
    </row>
    <row r="28" customFormat="false" ht="15" hidden="false" customHeight="false" outlineLevel="0" collapsed="false">
      <c r="A28" s="7" t="s">
        <v>86</v>
      </c>
      <c r="B28" s="2" t="s">
        <v>87</v>
      </c>
      <c r="C28" s="8" t="n">
        <v>1049.12</v>
      </c>
      <c r="D28" s="10" t="n">
        <f aca="false">C28/C27-1</f>
        <v>-0.0145776976254887</v>
      </c>
      <c r="E28" s="11" t="n">
        <f aca="false">LN(C28/C27)</f>
        <v>-0.0146849963148029</v>
      </c>
    </row>
    <row r="29" customFormat="false" ht="15" hidden="false" customHeight="false" outlineLevel="0" collapsed="false">
      <c r="A29" s="7" t="s">
        <v>88</v>
      </c>
      <c r="B29" s="2" t="s">
        <v>89</v>
      </c>
      <c r="C29" s="8" t="n">
        <v>1075.17</v>
      </c>
      <c r="D29" s="10" t="n">
        <f aca="false">C29/C28-1</f>
        <v>0.0248303339942049</v>
      </c>
      <c r="E29" s="11" t="n">
        <f aca="false">LN(C29/C28)</f>
        <v>0.0245270710785997</v>
      </c>
    </row>
    <row r="30" customFormat="false" ht="15" hidden="false" customHeight="false" outlineLevel="0" collapsed="false">
      <c r="A30" s="7" t="s">
        <v>90</v>
      </c>
      <c r="B30" s="2" t="s">
        <v>91</v>
      </c>
      <c r="C30" s="8" t="n">
        <v>1122.18</v>
      </c>
      <c r="D30" s="10" t="n">
        <f aca="false">C30/C29-1</f>
        <v>0.0437233181729402</v>
      </c>
      <c r="E30" s="11" t="n">
        <f aca="false">LN(C30/C29)</f>
        <v>0.042794433429055</v>
      </c>
    </row>
    <row r="31" customFormat="false" ht="15" hidden="false" customHeight="false" outlineLevel="0" collapsed="false">
      <c r="A31" s="7" t="s">
        <v>92</v>
      </c>
      <c r="B31" s="2" t="s">
        <v>93</v>
      </c>
      <c r="C31" s="8" t="n">
        <v>1222.9</v>
      </c>
      <c r="D31" s="10" t="n">
        <f aca="false">C31/C30-1</f>
        <v>0.0897538719278548</v>
      </c>
      <c r="E31" s="11" t="n">
        <f aca="false">LN(C31/C30)</f>
        <v>0.0859518651723605</v>
      </c>
    </row>
    <row r="32" customFormat="false" ht="15" hidden="false" customHeight="false" outlineLevel="0" collapsed="false">
      <c r="A32" s="7" t="s">
        <v>94</v>
      </c>
      <c r="B32" s="2" t="s">
        <v>95</v>
      </c>
      <c r="C32" s="8" t="n">
        <v>1224.05</v>
      </c>
      <c r="D32" s="10" t="n">
        <f aca="false">C32/C31-1</f>
        <v>0.000940387603238113</v>
      </c>
      <c r="E32" s="11" t="n">
        <f aca="false">LN(C32/C31)</f>
        <v>0.00093994571582455</v>
      </c>
    </row>
    <row r="33" customFormat="false" ht="15" hidden="false" customHeight="false" outlineLevel="0" collapsed="false">
      <c r="A33" s="7" t="s">
        <v>96</v>
      </c>
      <c r="B33" s="2" t="s">
        <v>97</v>
      </c>
      <c r="C33" s="8" t="n">
        <v>1154.15</v>
      </c>
      <c r="D33" s="10" t="n">
        <f aca="false">C33/C32-1</f>
        <v>-0.057105510395817</v>
      </c>
      <c r="E33" s="11" t="n">
        <f aca="false">LN(C33/C32)</f>
        <v>-0.0588008906211415</v>
      </c>
    </row>
    <row r="34" customFormat="false" ht="15" hidden="false" customHeight="false" outlineLevel="0" collapsed="false">
      <c r="A34" s="7" t="s">
        <v>98</v>
      </c>
      <c r="B34" s="2" t="s">
        <v>99</v>
      </c>
      <c r="C34" s="8" t="n">
        <v>1028.19</v>
      </c>
      <c r="D34" s="10" t="n">
        <f aca="false">C34/C33-1</f>
        <v>-0.109136594030239</v>
      </c>
      <c r="E34" s="11" t="n">
        <f aca="false">LN(C34/C33)</f>
        <v>-0.115564167450191</v>
      </c>
    </row>
    <row r="35" customFormat="false" ht="15" hidden="false" customHeight="false" outlineLevel="0" collapsed="false">
      <c r="A35" s="7" t="s">
        <v>100</v>
      </c>
      <c r="B35" s="2" t="s">
        <v>101</v>
      </c>
      <c r="C35" s="8" t="n">
        <v>1094.13</v>
      </c>
      <c r="D35" s="10" t="n">
        <f aca="false">C35/C34-1</f>
        <v>0.0641321156595571</v>
      </c>
      <c r="E35" s="11" t="n">
        <f aca="false">LN(C35/C34)</f>
        <v>0.0621595520641059</v>
      </c>
    </row>
    <row r="36" customFormat="false" ht="15" hidden="false" customHeight="false" outlineLevel="0" collapsed="false">
      <c r="A36" s="7" t="s">
        <v>102</v>
      </c>
      <c r="B36" s="2" t="s">
        <v>103</v>
      </c>
      <c r="C36" s="8" t="n">
        <v>1129.93</v>
      </c>
      <c r="D36" s="10" t="n">
        <f aca="false">C36/C35-1</f>
        <v>0.0327200606874869</v>
      </c>
      <c r="E36" s="11" t="n">
        <f aca="false">LN(C36/C35)</f>
        <v>0.0321961569810208</v>
      </c>
    </row>
    <row r="37" customFormat="false" ht="15" hidden="false" customHeight="false" outlineLevel="0" collapsed="false">
      <c r="A37" s="7" t="s">
        <v>104</v>
      </c>
      <c r="B37" s="2" t="s">
        <v>105</v>
      </c>
      <c r="C37" s="8" t="n">
        <v>1164.31</v>
      </c>
      <c r="D37" s="10" t="n">
        <f aca="false">C37/C36-1</f>
        <v>0.0304266635986299</v>
      </c>
      <c r="E37" s="11" t="n">
        <f aca="false">LN(C37/C36)</f>
        <v>0.029972952972814</v>
      </c>
    </row>
    <row r="38" customFormat="false" ht="15" hidden="false" customHeight="false" outlineLevel="0" collapsed="false">
      <c r="A38" s="7" t="s">
        <v>106</v>
      </c>
      <c r="B38" s="2" t="s">
        <v>107</v>
      </c>
      <c r="C38" s="8" t="n">
        <v>1252.73</v>
      </c>
      <c r="D38" s="10" t="n">
        <f aca="false">C38/C37-1</f>
        <v>0.0759419742164889</v>
      </c>
      <c r="E38" s="11" t="n">
        <f aca="false">LN(C38/C37)</f>
        <v>0.0731965329773673</v>
      </c>
    </row>
    <row r="39" customFormat="false" ht="15" hidden="false" customHeight="false" outlineLevel="0" collapsed="false">
      <c r="A39" s="7" t="s">
        <v>108</v>
      </c>
      <c r="B39" s="2" t="s">
        <v>109</v>
      </c>
      <c r="C39" s="8" t="n">
        <v>1284.09</v>
      </c>
      <c r="D39" s="10" t="n">
        <f aca="false">C39/C38-1</f>
        <v>0.0250333272133658</v>
      </c>
      <c r="E39" s="11" t="n">
        <f aca="false">LN(C39/C38)</f>
        <v>0.0247251264162946</v>
      </c>
    </row>
    <row r="40" customFormat="false" ht="15" hidden="false" customHeight="false" outlineLevel="0" collapsed="false">
      <c r="A40" s="7" t="s">
        <v>110</v>
      </c>
      <c r="B40" s="2" t="s">
        <v>111</v>
      </c>
      <c r="C40" s="8" t="n">
        <v>1209.52</v>
      </c>
      <c r="D40" s="10" t="n">
        <f aca="false">C40/C39-1</f>
        <v>-0.0580722535024804</v>
      </c>
      <c r="E40" s="11" t="n">
        <f aca="false">LN(C40/C39)</f>
        <v>-0.059826709579473</v>
      </c>
    </row>
    <row r="41" customFormat="false" ht="15" hidden="false" customHeight="false" outlineLevel="0" collapsed="false">
      <c r="A41" s="7" t="s">
        <v>112</v>
      </c>
      <c r="B41" s="2" t="s">
        <v>113</v>
      </c>
      <c r="C41" s="8" t="n">
        <v>1261.72</v>
      </c>
      <c r="D41" s="10" t="n">
        <f aca="false">C41/C40-1</f>
        <v>0.0431576162444607</v>
      </c>
      <c r="E41" s="11" t="n">
        <f aca="false">LN(C41/C40)</f>
        <v>0.042252282764869</v>
      </c>
    </row>
    <row r="42" customFormat="false" ht="15" hidden="false" customHeight="false" outlineLevel="0" collapsed="false">
      <c r="A42" s="7" t="s">
        <v>114</v>
      </c>
      <c r="B42" s="2" t="s">
        <v>115</v>
      </c>
      <c r="C42" s="8" t="n">
        <v>1245.32</v>
      </c>
      <c r="D42" s="10" t="n">
        <f aca="false">C42/C41-1</f>
        <v>-0.0129981295374568</v>
      </c>
      <c r="E42" s="11" t="n">
        <f aca="false">LN(C42/C41)</f>
        <v>-0.0130833444516232</v>
      </c>
    </row>
    <row r="43" customFormat="false" ht="15" hidden="false" customHeight="false" outlineLevel="0" collapsed="false">
      <c r="A43" s="7" t="s">
        <v>116</v>
      </c>
      <c r="B43" s="2" t="s">
        <v>117</v>
      </c>
      <c r="C43" s="8" t="n">
        <v>1251.51</v>
      </c>
      <c r="D43" s="10" t="n">
        <f aca="false">C43/C42-1</f>
        <v>0.00497060996370413</v>
      </c>
      <c r="E43" s="11" t="n">
        <f aca="false">LN(C43/C42)</f>
        <v>0.0049582972662205</v>
      </c>
    </row>
    <row r="44" customFormat="false" ht="15" hidden="false" customHeight="false" outlineLevel="0" collapsed="false">
      <c r="A44" s="7" t="s">
        <v>118</v>
      </c>
      <c r="B44" s="2" t="s">
        <v>119</v>
      </c>
      <c r="C44" s="8" t="n">
        <v>1283.87</v>
      </c>
      <c r="D44" s="10" t="n">
        <f aca="false">C44/C43-1</f>
        <v>0.0258567650278463</v>
      </c>
      <c r="E44" s="11" t="n">
        <f aca="false">LN(C44/C43)</f>
        <v>0.0255281317668425</v>
      </c>
    </row>
    <row r="45" customFormat="false" ht="15" hidden="false" customHeight="false" outlineLevel="0" collapsed="false">
      <c r="A45" s="7" t="s">
        <v>120</v>
      </c>
      <c r="B45" s="2" t="s">
        <v>121</v>
      </c>
      <c r="C45" s="8" t="n">
        <v>1287.94</v>
      </c>
      <c r="D45" s="10" t="n">
        <f aca="false">C45/C44-1</f>
        <v>0.00317010289203745</v>
      </c>
      <c r="E45" s="11" t="n">
        <f aca="false">LN(C45/C44)</f>
        <v>0.00316508871005154</v>
      </c>
    </row>
    <row r="46" customFormat="false" ht="15" hidden="false" customHeight="false" outlineLevel="0" collapsed="false">
      <c r="A46" s="7" t="s">
        <v>122</v>
      </c>
      <c r="B46" s="2" t="s">
        <v>123</v>
      </c>
      <c r="C46" s="8" t="n">
        <v>1264.48</v>
      </c>
      <c r="D46" s="10" t="n">
        <f aca="false">C46/C45-1</f>
        <v>-0.0182151342453841</v>
      </c>
      <c r="E46" s="11" t="n">
        <f aca="false">LN(C46/C45)</f>
        <v>-0.0183830722716408</v>
      </c>
    </row>
    <row r="47" customFormat="false" ht="15" hidden="false" customHeight="false" outlineLevel="0" collapsed="false">
      <c r="A47" s="7" t="s">
        <v>124</v>
      </c>
      <c r="B47" s="2" t="s">
        <v>125</v>
      </c>
      <c r="C47" s="8" t="n">
        <v>1250.46</v>
      </c>
      <c r="D47" s="10" t="n">
        <f aca="false">C47/C46-1</f>
        <v>-0.0110875616854359</v>
      </c>
      <c r="E47" s="11" t="n">
        <f aca="false">LN(C47/C46)</f>
        <v>-0.0111494868557109</v>
      </c>
    </row>
    <row r="48" customFormat="false" ht="15" hidden="false" customHeight="false" outlineLevel="0" collapsed="false">
      <c r="A48" s="7" t="s">
        <v>126</v>
      </c>
      <c r="B48" s="2" t="s">
        <v>53</v>
      </c>
      <c r="C48" s="8" t="n">
        <v>1266.78</v>
      </c>
      <c r="D48" s="10" t="n">
        <f aca="false">C48/C47-1</f>
        <v>0.0130511971594454</v>
      </c>
      <c r="E48" s="11" t="n">
        <f aca="false">LN(C48/C47)</f>
        <v>0.0129667641270924</v>
      </c>
    </row>
    <row r="49" customFormat="false" ht="15" hidden="false" customHeight="false" outlineLevel="0" collapsed="false">
      <c r="A49" s="7" t="s">
        <v>127</v>
      </c>
      <c r="B49" s="2" t="s">
        <v>128</v>
      </c>
      <c r="C49" s="8" t="n">
        <v>1265.05</v>
      </c>
      <c r="D49" s="10" t="n">
        <f aca="false">C49/C48-1</f>
        <v>-0.00136566728240106</v>
      </c>
      <c r="E49" s="11" t="n">
        <f aca="false">LN(C49/C48)</f>
        <v>-0.001366600655846</v>
      </c>
    </row>
    <row r="50" customFormat="false" ht="15" hidden="false" customHeight="false" outlineLevel="0" collapsed="false">
      <c r="A50" s="7" t="s">
        <v>129</v>
      </c>
      <c r="B50" s="2" t="s">
        <v>130</v>
      </c>
      <c r="C50" s="8" t="n">
        <v>1305.36</v>
      </c>
      <c r="D50" s="10" t="n">
        <f aca="false">C50/C49-1</f>
        <v>0.031864353187621</v>
      </c>
      <c r="E50" s="11" t="n">
        <f aca="false">LN(C50/C49)</f>
        <v>0.0313672177106144</v>
      </c>
    </row>
    <row r="51" customFormat="false" ht="15" hidden="false" customHeight="false" outlineLevel="0" collapsed="false">
      <c r="A51" s="7" t="s">
        <v>131</v>
      </c>
      <c r="B51" s="2" t="s">
        <v>132</v>
      </c>
      <c r="C51" s="8" t="n">
        <v>1306.86</v>
      </c>
      <c r="D51" s="10" t="n">
        <f aca="false">C51/C50-1</f>
        <v>0.00114910829196546</v>
      </c>
      <c r="E51" s="11" t="n">
        <f aca="false">LN(C51/C50)</f>
        <v>0.0011484485723766</v>
      </c>
    </row>
    <row r="52" customFormat="false" ht="15" hidden="false" customHeight="false" outlineLevel="0" collapsed="false">
      <c r="A52" s="7" t="s">
        <v>133</v>
      </c>
      <c r="B52" s="2" t="s">
        <v>134</v>
      </c>
      <c r="C52" s="8" t="n">
        <v>1226.3</v>
      </c>
      <c r="D52" s="10" t="n">
        <f aca="false">C52/C51-1</f>
        <v>-0.0616439404373842</v>
      </c>
      <c r="E52" s="11" t="n">
        <f aca="false">LN(C52/C51)</f>
        <v>-0.0636258075872111</v>
      </c>
    </row>
    <row r="53" customFormat="false" ht="15" hidden="false" customHeight="false" outlineLevel="0" collapsed="false">
      <c r="A53" s="7" t="s">
        <v>135</v>
      </c>
      <c r="B53" s="2" t="s">
        <v>136</v>
      </c>
      <c r="C53" s="8" t="n">
        <v>1332.6</v>
      </c>
      <c r="D53" s="10" t="n">
        <f aca="false">C53/C52-1</f>
        <v>0.0866835195302944</v>
      </c>
      <c r="E53" s="11" t="n">
        <f aca="false">LN(C53/C52)</f>
        <v>0.0831304153604564</v>
      </c>
    </row>
    <row r="54" customFormat="false" ht="15" hidden="false" customHeight="false" outlineLevel="0" collapsed="false">
      <c r="A54" s="7" t="s">
        <v>137</v>
      </c>
      <c r="B54" s="2" t="s">
        <v>138</v>
      </c>
      <c r="C54" s="8" t="n">
        <v>1376.07</v>
      </c>
      <c r="D54" s="10" t="n">
        <f aca="false">C54/C53-1</f>
        <v>0.0326204412426836</v>
      </c>
      <c r="E54" s="11" t="n">
        <f aca="false">LN(C54/C53)</f>
        <v>0.0320996891639345</v>
      </c>
    </row>
    <row r="55" customFormat="false" ht="15" hidden="false" customHeight="false" outlineLevel="0" collapsed="false">
      <c r="A55" s="7" t="s">
        <v>139</v>
      </c>
      <c r="B55" s="2" t="s">
        <v>140</v>
      </c>
      <c r="C55" s="8" t="n">
        <v>1502.52</v>
      </c>
      <c r="D55" s="10" t="n">
        <f aca="false">C55/C54-1</f>
        <v>0.091892127580719</v>
      </c>
      <c r="E55" s="11" t="n">
        <f aca="false">LN(C55/C54)</f>
        <v>0.0879120881764854</v>
      </c>
    </row>
    <row r="56" customFormat="false" ht="15" hidden="false" customHeight="false" outlineLevel="0" collapsed="false">
      <c r="A56" s="7" t="s">
        <v>141</v>
      </c>
      <c r="B56" s="2" t="s">
        <v>142</v>
      </c>
      <c r="C56" s="8" t="n">
        <v>1682.21</v>
      </c>
      <c r="D56" s="10" t="n">
        <f aca="false">C56/C55-1</f>
        <v>0.119592418070974</v>
      </c>
      <c r="E56" s="11" t="n">
        <f aca="false">LN(C56/C55)</f>
        <v>0.112964706638173</v>
      </c>
    </row>
    <row r="57" customFormat="false" ht="15" hidden="false" customHeight="false" outlineLevel="0" collapsed="false">
      <c r="A57" s="7" t="s">
        <v>143</v>
      </c>
      <c r="B57" s="2" t="s">
        <v>144</v>
      </c>
      <c r="C57" s="8" t="n">
        <v>1661.7</v>
      </c>
      <c r="D57" s="10" t="n">
        <f aca="false">C57/C56-1</f>
        <v>-0.0121922946600008</v>
      </c>
      <c r="E57" s="11" t="n">
        <f aca="false">LN(C57/C56)</f>
        <v>-0.0122672303998619</v>
      </c>
    </row>
    <row r="58" customFormat="false" ht="15" hidden="false" customHeight="false" outlineLevel="0" collapsed="false">
      <c r="A58" s="7" t="s">
        <v>145</v>
      </c>
      <c r="B58" s="2" t="s">
        <v>146</v>
      </c>
      <c r="C58" s="8" t="n">
        <v>1639.65</v>
      </c>
      <c r="D58" s="10" t="n">
        <f aca="false">C58/C57-1</f>
        <v>-0.0132695432388518</v>
      </c>
      <c r="E58" s="11" t="n">
        <f aca="false">LN(C58/C57)</f>
        <v>-0.0133583702992137</v>
      </c>
    </row>
    <row r="59" customFormat="false" ht="15" hidden="false" customHeight="false" outlineLevel="0" collapsed="false">
      <c r="A59" s="7" t="s">
        <v>147</v>
      </c>
      <c r="B59" s="2" t="s">
        <v>148</v>
      </c>
      <c r="C59" s="8" t="n">
        <v>1690.99</v>
      </c>
      <c r="D59" s="10" t="n">
        <f aca="false">C59/C58-1</f>
        <v>0.0313115603939864</v>
      </c>
      <c r="E59" s="11" t="n">
        <f aca="false">LN(C59/C58)</f>
        <v>0.0308313518125844</v>
      </c>
    </row>
    <row r="60" customFormat="false" ht="15" hidden="false" customHeight="false" outlineLevel="0" collapsed="false">
      <c r="A60" s="7" t="s">
        <v>149</v>
      </c>
      <c r="B60" s="2" t="s">
        <v>57</v>
      </c>
      <c r="C60" s="8" t="n">
        <v>1784.49</v>
      </c>
      <c r="D60" s="10" t="n">
        <f aca="false">C60/C59-1</f>
        <v>0.0552930531818638</v>
      </c>
      <c r="E60" s="11" t="n">
        <f aca="false">LN(C60/C59)</f>
        <v>0.0538185038833837</v>
      </c>
    </row>
    <row r="61" customFormat="false" ht="15" hidden="false" customHeight="false" outlineLevel="0" collapsed="false">
      <c r="A61" s="7" t="s">
        <v>150</v>
      </c>
      <c r="B61" s="2" t="s">
        <v>151</v>
      </c>
      <c r="C61" s="8" t="n">
        <v>1829.04</v>
      </c>
      <c r="D61" s="10" t="n">
        <f aca="false">C61/C60-1</f>
        <v>0.0249651160835869</v>
      </c>
      <c r="E61" s="11" t="n">
        <f aca="false">LN(C61/C60)</f>
        <v>0.0246585789220492</v>
      </c>
    </row>
    <row r="62" customFormat="false" ht="15" hidden="false" customHeight="false" outlineLevel="0" collapsed="false">
      <c r="A62" s="7" t="s">
        <v>152</v>
      </c>
      <c r="B62" s="2" t="s">
        <v>153</v>
      </c>
      <c r="C62" s="8" t="n">
        <v>1880.33</v>
      </c>
      <c r="D62" s="10" t="n">
        <f aca="false">C62/C61-1</f>
        <v>0.0280420329790492</v>
      </c>
      <c r="E62" s="11" t="n">
        <f aca="false">LN(C62/C61)</f>
        <v>0.0276560543089928</v>
      </c>
    </row>
    <row r="63" customFormat="false" ht="15" hidden="false" customHeight="false" outlineLevel="0" collapsed="false">
      <c r="A63" s="7" t="s">
        <v>154</v>
      </c>
      <c r="B63" s="2" t="s">
        <v>155</v>
      </c>
      <c r="C63" s="8" t="n">
        <v>1674.49</v>
      </c>
      <c r="D63" s="10" t="n">
        <f aca="false">C63/C62-1</f>
        <v>-0.109470146197742</v>
      </c>
      <c r="E63" s="11" t="n">
        <f aca="false">LN(C63/C62)</f>
        <v>-0.115938652050457</v>
      </c>
    </row>
    <row r="64" customFormat="false" ht="15" hidden="false" customHeight="false" outlineLevel="0" collapsed="false">
      <c r="A64" s="7" t="s">
        <v>156</v>
      </c>
      <c r="B64" s="2" t="s">
        <v>157</v>
      </c>
      <c r="C64" s="8" t="n">
        <v>1854.1</v>
      </c>
      <c r="D64" s="10" t="n">
        <f aca="false">C64/C63-1</f>
        <v>0.107262509779097</v>
      </c>
      <c r="E64" s="11" t="n">
        <f aca="false">LN(C64/C63)</f>
        <v>0.1018907618193</v>
      </c>
    </row>
    <row r="65" customFormat="false" ht="15" hidden="false" customHeight="false" outlineLevel="0" collapsed="false">
      <c r="A65" s="7" t="s">
        <v>158</v>
      </c>
      <c r="B65" s="2" t="s">
        <v>159</v>
      </c>
      <c r="C65" s="8" t="n">
        <v>1863.49</v>
      </c>
      <c r="D65" s="10" t="n">
        <f aca="false">C65/C64-1</f>
        <v>0.00506445175556869</v>
      </c>
      <c r="E65" s="11" t="n">
        <f aca="false">LN(C65/C64)</f>
        <v>0.00505167055479634</v>
      </c>
    </row>
    <row r="66" customFormat="false" ht="15" hidden="false" customHeight="false" outlineLevel="0" collapsed="false">
      <c r="A66" s="7" t="s">
        <v>160</v>
      </c>
      <c r="B66" s="2" t="s">
        <v>161</v>
      </c>
      <c r="C66" s="8" t="n">
        <v>1860.01</v>
      </c>
      <c r="D66" s="10" t="n">
        <f aca="false">C66/C65-1</f>
        <v>-0.00186746373739599</v>
      </c>
      <c r="E66" s="11" t="n">
        <f aca="false">LN(C66/C65)</f>
        <v>-0.00186920962172361</v>
      </c>
    </row>
    <row r="67" customFormat="false" ht="15" hidden="false" customHeight="false" outlineLevel="0" collapsed="false">
      <c r="A67" s="7" t="s">
        <v>162</v>
      </c>
      <c r="B67" s="2" t="s">
        <v>163</v>
      </c>
      <c r="C67" s="8" t="n">
        <v>1735.78</v>
      </c>
      <c r="D67" s="10" t="n">
        <f aca="false">C67/C66-1</f>
        <v>-0.0667899634948199</v>
      </c>
      <c r="E67" s="11" t="n">
        <f aca="false">LN(C67/C66)</f>
        <v>-0.0691249839578696</v>
      </c>
    </row>
    <row r="68" customFormat="false" ht="15" hidden="false" customHeight="false" outlineLevel="0" collapsed="false">
      <c r="A68" s="7" t="s">
        <v>164</v>
      </c>
      <c r="B68" s="2" t="s">
        <v>165</v>
      </c>
      <c r="C68" s="8" t="n">
        <v>1832.12</v>
      </c>
      <c r="D68" s="10" t="n">
        <f aca="false">C68/C67-1</f>
        <v>0.0555024254225764</v>
      </c>
      <c r="E68" s="11" t="n">
        <f aca="false">LN(C68/C67)</f>
        <v>0.0540168861932963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166</v>
      </c>
    </row>
    <row r="2" customFormat="false" ht="15" hidden="false" customHeight="false" outlineLevel="0" collapsed="false">
      <c r="A2" s="4" t="s">
        <v>167</v>
      </c>
    </row>
    <row r="4" customFormat="false" ht="15" hidden="false" customHeight="false" outlineLevel="0" collapsed="false">
      <c r="A4" s="5" t="s">
        <v>168</v>
      </c>
      <c r="B4" s="5" t="s">
        <v>169</v>
      </c>
      <c r="C4" s="5" t="s">
        <v>17</v>
      </c>
    </row>
    <row r="5" customFormat="false" ht="15" hidden="false" customHeight="false" outlineLevel="0" collapsed="false">
      <c r="A5" s="14" t="n">
        <v>42398</v>
      </c>
      <c r="B5" s="15" t="n">
        <v>32890000</v>
      </c>
      <c r="E5" s="2" t="s">
        <v>23</v>
      </c>
      <c r="F5" s="9" t="n">
        <f aca="false">COUNT(C6:C133)</f>
        <v>128</v>
      </c>
    </row>
    <row r="6" customFormat="false" ht="15" hidden="false" customHeight="false" outlineLevel="0" collapsed="false">
      <c r="A6" s="14" t="n">
        <v>42429</v>
      </c>
      <c r="B6" s="15" t="n">
        <v>33590000</v>
      </c>
      <c r="C6" s="10" t="n">
        <f aca="false">B6/B5-1</f>
        <v>0.0212830647613256</v>
      </c>
      <c r="E6" s="2" t="s">
        <v>32</v>
      </c>
      <c r="F6" s="10" t="n">
        <f aca="false">AVERAGE(C6:C133)*12</f>
        <v>0.148934488590711</v>
      </c>
    </row>
    <row r="7" customFormat="false" ht="15" hidden="false" customHeight="false" outlineLevel="0" collapsed="false">
      <c r="A7" s="14" t="n">
        <v>42460</v>
      </c>
      <c r="B7" s="15" t="n">
        <v>33340000</v>
      </c>
      <c r="C7" s="10" t="n">
        <f aca="false">B7/B6-1</f>
        <v>-0.00744269127716579</v>
      </c>
      <c r="E7" s="2" t="s">
        <v>35</v>
      </c>
      <c r="F7" s="10" t="n">
        <f aca="false">STDEV(C6:C133)*SQRT(12)</f>
        <v>0.141258744990806</v>
      </c>
    </row>
    <row r="8" customFormat="false" ht="15" hidden="false" customHeight="false" outlineLevel="0" collapsed="false">
      <c r="A8" s="14" t="n">
        <v>42489</v>
      </c>
      <c r="B8" s="15" t="n">
        <v>33800000</v>
      </c>
      <c r="C8" s="10" t="n">
        <f aca="false">B8/B7-1</f>
        <v>0.0137972405518896</v>
      </c>
      <c r="E8" s="2" t="s">
        <v>38</v>
      </c>
      <c r="F8" s="10" t="n">
        <f aca="false">(B133/B5)^(12/F5)-1</f>
        <v>0.148774234169487</v>
      </c>
    </row>
    <row r="9" customFormat="false" ht="15" hidden="false" customHeight="false" outlineLevel="0" collapsed="false">
      <c r="A9" s="14" t="n">
        <v>42521</v>
      </c>
      <c r="B9" s="15" t="n">
        <v>33350000</v>
      </c>
      <c r="C9" s="10" t="n">
        <f aca="false">B9/B8-1</f>
        <v>-0.0133136094674556</v>
      </c>
    </row>
    <row r="10" customFormat="false" ht="15" hidden="false" customHeight="false" outlineLevel="0" collapsed="false">
      <c r="A10" s="14" t="n">
        <v>42551</v>
      </c>
      <c r="B10" s="15" t="n">
        <v>35220000</v>
      </c>
      <c r="C10" s="10" t="n">
        <f aca="false">B10/B9-1</f>
        <v>0.056071964017991</v>
      </c>
      <c r="E10" s="6" t="s">
        <v>170</v>
      </c>
      <c r="F10" s="6" t="s">
        <v>171</v>
      </c>
    </row>
    <row r="11" customFormat="false" ht="15" hidden="false" customHeight="false" outlineLevel="0" collapsed="false">
      <c r="A11" s="14" t="n">
        <v>42580</v>
      </c>
      <c r="B11" s="15" t="n">
        <v>36423000</v>
      </c>
      <c r="C11" s="10" t="n">
        <f aca="false">B11/B10-1</f>
        <v>0.0341567291311755</v>
      </c>
      <c r="E11" s="2" t="s">
        <v>172</v>
      </c>
      <c r="F11" s="10" t="n">
        <f aca="false">B28/B16-1</f>
        <v>0.0366169891431341</v>
      </c>
    </row>
    <row r="12" customFormat="false" ht="15" hidden="false" customHeight="false" outlineLevel="0" collapsed="false">
      <c r="A12" s="14" t="n">
        <v>42613</v>
      </c>
      <c r="B12" s="15" t="n">
        <v>36218000</v>
      </c>
      <c r="C12" s="10" t="n">
        <f aca="false">B12/B11-1</f>
        <v>-0.00562831178101753</v>
      </c>
      <c r="E12" s="2" t="s">
        <v>173</v>
      </c>
      <c r="F12" s="10" t="n">
        <f aca="false">B40/B28-1</f>
        <v>0.00280389246247736</v>
      </c>
    </row>
    <row r="13" customFormat="false" ht="15" hidden="false" customHeight="false" outlineLevel="0" collapsed="false">
      <c r="A13" s="14" t="n">
        <v>42643</v>
      </c>
      <c r="B13" s="15" t="n">
        <v>36133000</v>
      </c>
      <c r="C13" s="10" t="n">
        <f aca="false">B13/B12-1</f>
        <v>-0.00234689933182397</v>
      </c>
      <c r="E13" s="2" t="s">
        <v>174</v>
      </c>
      <c r="F13" s="10" t="n">
        <f aca="false">B52/B40-1</f>
        <v>0.165021929824561</v>
      </c>
    </row>
    <row r="14" customFormat="false" ht="15" hidden="false" customHeight="false" outlineLevel="0" collapsed="false">
      <c r="A14" s="14" t="n">
        <v>42674</v>
      </c>
      <c r="B14" s="15" t="n">
        <v>35423000</v>
      </c>
      <c r="C14" s="10" t="n">
        <f aca="false">B14/B13-1</f>
        <v>-0.0196496277640937</v>
      </c>
      <c r="E14" s="2" t="s">
        <v>175</v>
      </c>
      <c r="F14" s="10" t="n">
        <f aca="false">B64/B52-1</f>
        <v>0.32</v>
      </c>
    </row>
    <row r="15" customFormat="false" ht="15" hidden="false" customHeight="false" outlineLevel="0" collapsed="false">
      <c r="A15" s="14" t="n">
        <v>42704</v>
      </c>
      <c r="B15" s="15" t="n">
        <v>34878000</v>
      </c>
      <c r="C15" s="10" t="n">
        <f aca="false">B15/B14-1</f>
        <v>-0.0153854840075657</v>
      </c>
      <c r="E15" s="2" t="s">
        <v>176</v>
      </c>
      <c r="F15" s="10" t="n">
        <f aca="false">B76/B64-1</f>
        <v>0.0989304812834224</v>
      </c>
    </row>
    <row r="16" customFormat="false" ht="15" hidden="false" customHeight="false" outlineLevel="0" collapsed="false">
      <c r="A16" s="14" t="n">
        <v>42734</v>
      </c>
      <c r="B16" s="15" t="n">
        <v>35093000</v>
      </c>
      <c r="C16" s="10" t="n">
        <f aca="false">B16/B15-1</f>
        <v>0.00616434428579615</v>
      </c>
      <c r="E16" s="2" t="s">
        <v>177</v>
      </c>
      <c r="F16" s="10" t="n">
        <f aca="false">B88/B76-1</f>
        <v>0.0819140308191404</v>
      </c>
    </row>
    <row r="17" customFormat="false" ht="15" hidden="false" customHeight="false" outlineLevel="0" collapsed="false">
      <c r="A17" s="14" t="n">
        <v>42761</v>
      </c>
      <c r="B17" s="15" t="n">
        <v>35593000</v>
      </c>
      <c r="C17" s="10" t="n">
        <f aca="false">B17/B16-1</f>
        <v>0.0142478556977175</v>
      </c>
      <c r="E17" s="2" t="s">
        <v>178</v>
      </c>
      <c r="F17" s="10" t="n">
        <f aca="false">B100/B88-1</f>
        <v>0.139430284857571</v>
      </c>
    </row>
    <row r="18" customFormat="false" ht="15" hidden="false" customHeight="false" outlineLevel="0" collapsed="false">
      <c r="A18" s="14" t="n">
        <v>42794</v>
      </c>
      <c r="B18" s="15" t="n">
        <v>35903000</v>
      </c>
      <c r="C18" s="10" t="n">
        <f aca="false">B18/B17-1</f>
        <v>0.00870957772595737</v>
      </c>
      <c r="E18" s="2" t="s">
        <v>179</v>
      </c>
      <c r="F18" s="10" t="n">
        <f aca="false">B112/B100-1</f>
        <v>0.107894736842105</v>
      </c>
    </row>
    <row r="19" customFormat="false" ht="15" hidden="false" customHeight="false" outlineLevel="0" collapsed="false">
      <c r="A19" s="14" t="n">
        <v>42825</v>
      </c>
      <c r="B19" s="15" t="n">
        <v>35583000</v>
      </c>
      <c r="C19" s="10" t="n">
        <f aca="false">B19/B18-1</f>
        <v>-0.00891290421413249</v>
      </c>
      <c r="E19" s="2" t="s">
        <v>180</v>
      </c>
      <c r="F19" s="10" t="n">
        <f aca="false">B124/B112-1</f>
        <v>0.814726840855107</v>
      </c>
    </row>
    <row r="20" customFormat="false" ht="15" hidden="false" customHeight="false" outlineLevel="0" collapsed="false">
      <c r="A20" s="14" t="n">
        <v>42853</v>
      </c>
      <c r="B20" s="15" t="n">
        <v>36023000</v>
      </c>
      <c r="C20" s="10" t="n">
        <f aca="false">B20/B19-1</f>
        <v>0.0123654554141022</v>
      </c>
      <c r="E20" s="2" t="s">
        <v>181</v>
      </c>
      <c r="F20" s="10" t="n">
        <f aca="false">STDEV(F11:F19)</f>
        <v>0.248818647696451</v>
      </c>
    </row>
    <row r="21" customFormat="false" ht="15" hidden="false" customHeight="false" outlineLevel="0" collapsed="false">
      <c r="A21" s="14" t="n">
        <v>42886</v>
      </c>
      <c r="B21" s="15" t="n">
        <v>35698000</v>
      </c>
      <c r="C21" s="10" t="n">
        <f aca="false">B21/B20-1</f>
        <v>-0.0090220137134609</v>
      </c>
      <c r="E21" s="4" t="s">
        <v>182</v>
      </c>
    </row>
    <row r="22" customFormat="false" ht="15" hidden="false" customHeight="false" outlineLevel="0" collapsed="false">
      <c r="A22" s="14" t="n">
        <v>42916</v>
      </c>
      <c r="B22" s="15" t="n">
        <v>35618000</v>
      </c>
      <c r="C22" s="10" t="n">
        <f aca="false">B22/B21-1</f>
        <v>-0.00224102190598918</v>
      </c>
    </row>
    <row r="23" customFormat="false" ht="15" hidden="false" customHeight="false" outlineLevel="0" collapsed="false">
      <c r="A23" s="14" t="n">
        <v>42947</v>
      </c>
      <c r="B23" s="15" t="n">
        <v>35713000</v>
      </c>
      <c r="C23" s="10" t="n">
        <f aca="false">B23/B22-1</f>
        <v>0.00266719074625188</v>
      </c>
    </row>
    <row r="24" customFormat="false" ht="15" hidden="false" customHeight="false" outlineLevel="0" collapsed="false">
      <c r="A24" s="14" t="n">
        <v>42978</v>
      </c>
      <c r="B24" s="15" t="n">
        <v>36193000</v>
      </c>
      <c r="C24" s="10" t="n">
        <f aca="false">B24/B23-1</f>
        <v>0.0134404838574189</v>
      </c>
    </row>
    <row r="25" customFormat="false" ht="15" hidden="false" customHeight="false" outlineLevel="0" collapsed="false">
      <c r="A25" s="14" t="n">
        <v>43007</v>
      </c>
      <c r="B25" s="15" t="n">
        <v>36228000</v>
      </c>
      <c r="C25" s="10" t="n">
        <f aca="false">B25/B24-1</f>
        <v>0.000967037824993744</v>
      </c>
    </row>
    <row r="26" customFormat="false" ht="15" hidden="false" customHeight="false" outlineLevel="0" collapsed="false">
      <c r="A26" s="14" t="n">
        <v>43039</v>
      </c>
      <c r="B26" s="15" t="n">
        <v>36078000</v>
      </c>
      <c r="C26" s="10" t="n">
        <f aca="false">B26/B25-1</f>
        <v>-0.00414044385558132</v>
      </c>
    </row>
    <row r="27" customFormat="false" ht="15" hidden="false" customHeight="false" outlineLevel="0" collapsed="false">
      <c r="A27" s="14" t="n">
        <v>43069</v>
      </c>
      <c r="B27" s="15" t="n">
        <v>36258000</v>
      </c>
      <c r="C27" s="10" t="n">
        <f aca="false">B27/B26-1</f>
        <v>0.00498919008814225</v>
      </c>
    </row>
    <row r="28" customFormat="false" ht="15" hidden="false" customHeight="false" outlineLevel="0" collapsed="false">
      <c r="A28" s="14" t="n">
        <v>43098</v>
      </c>
      <c r="B28" s="15" t="n">
        <v>36378000</v>
      </c>
      <c r="C28" s="10" t="n">
        <f aca="false">B28/B27-1</f>
        <v>0.00330961442991895</v>
      </c>
    </row>
    <row r="29" customFormat="false" ht="15" hidden="false" customHeight="false" outlineLevel="0" collapsed="false">
      <c r="A29" s="14" t="n">
        <v>43131</v>
      </c>
      <c r="B29" s="15" t="n">
        <v>36968000</v>
      </c>
      <c r="C29" s="10" t="n">
        <f aca="false">B29/B28-1</f>
        <v>0.0162185936555062</v>
      </c>
    </row>
    <row r="30" customFormat="false" ht="15" hidden="false" customHeight="false" outlineLevel="0" collapsed="false">
      <c r="A30" s="14" t="n">
        <v>43159</v>
      </c>
      <c r="B30" s="15" t="n">
        <v>36895000</v>
      </c>
      <c r="C30" s="10" t="n">
        <f aca="false">B30/B29-1</f>
        <v>-0.00197468080502061</v>
      </c>
    </row>
    <row r="31" customFormat="false" ht="15" hidden="false" customHeight="false" outlineLevel="0" collapsed="false">
      <c r="A31" s="14" t="n">
        <v>43189</v>
      </c>
      <c r="B31" s="15" t="n">
        <v>36893000</v>
      </c>
      <c r="C31" s="10" t="n">
        <f aca="false">B31/B30-1</f>
        <v>-5.4207887247637E-005</v>
      </c>
    </row>
    <row r="32" customFormat="false" ht="15" hidden="false" customHeight="false" outlineLevel="0" collapsed="false">
      <c r="A32" s="14" t="n">
        <v>43217</v>
      </c>
      <c r="B32" s="15" t="n">
        <v>36730000</v>
      </c>
      <c r="C32" s="10" t="n">
        <f aca="false">B32/B31-1</f>
        <v>-0.00441818231100755</v>
      </c>
    </row>
    <row r="33" customFormat="false" ht="15" hidden="false" customHeight="false" outlineLevel="0" collapsed="false">
      <c r="A33" s="14" t="n">
        <v>43251</v>
      </c>
      <c r="B33" s="15" t="n">
        <v>36740000</v>
      </c>
      <c r="C33" s="10" t="n">
        <f aca="false">B33/B32-1</f>
        <v>0.000272257010617949</v>
      </c>
    </row>
    <row r="34" customFormat="false" ht="15" hidden="false" customHeight="false" outlineLevel="0" collapsed="false">
      <c r="A34" s="14" t="n">
        <v>43280</v>
      </c>
      <c r="B34" s="15" t="n">
        <v>36780000</v>
      </c>
      <c r="C34" s="10" t="n">
        <f aca="false">B34/B33-1</f>
        <v>0.00108873162765377</v>
      </c>
    </row>
    <row r="35" customFormat="false" ht="15" hidden="false" customHeight="false" outlineLevel="0" collapsed="false">
      <c r="A35" s="14" t="n">
        <v>43312</v>
      </c>
      <c r="B35" s="15" t="n">
        <v>36870000</v>
      </c>
      <c r="C35" s="10" t="n">
        <f aca="false">B35/B34-1</f>
        <v>0.0024469820554649</v>
      </c>
    </row>
    <row r="36" customFormat="false" ht="15" hidden="false" customHeight="false" outlineLevel="0" collapsed="false">
      <c r="A36" s="14" t="n">
        <v>43343</v>
      </c>
      <c r="B36" s="15" t="n">
        <v>36730000</v>
      </c>
      <c r="C36" s="10" t="n">
        <f aca="false">B36/B35-1</f>
        <v>-0.00379712503390295</v>
      </c>
    </row>
    <row r="37" customFormat="false" ht="15" hidden="false" customHeight="false" outlineLevel="0" collapsed="false">
      <c r="A37" s="14" t="n">
        <v>43371</v>
      </c>
      <c r="B37" s="15" t="n">
        <v>36470000</v>
      </c>
      <c r="C37" s="10" t="n">
        <f aca="false">B37/B36-1</f>
        <v>-0.00707868227606856</v>
      </c>
    </row>
    <row r="38" customFormat="false" ht="15" hidden="false" customHeight="false" outlineLevel="0" collapsed="false">
      <c r="A38" s="14" t="n">
        <v>43404</v>
      </c>
      <c r="B38" s="15" t="n">
        <v>36510000</v>
      </c>
      <c r="C38" s="10" t="n">
        <f aca="false">B38/B37-1</f>
        <v>0.00109679188374012</v>
      </c>
    </row>
    <row r="39" customFormat="false" ht="15" hidden="false" customHeight="false" outlineLevel="0" collapsed="false">
      <c r="A39" s="14" t="n">
        <v>43434</v>
      </c>
      <c r="B39" s="15" t="n">
        <v>36490000</v>
      </c>
      <c r="C39" s="10" t="n">
        <f aca="false">B39/B38-1</f>
        <v>-0.00054779512462344</v>
      </c>
    </row>
    <row r="40" customFormat="false" ht="15" hidden="false" customHeight="false" outlineLevel="0" collapsed="false">
      <c r="A40" s="14" t="n">
        <v>43462</v>
      </c>
      <c r="B40" s="15" t="n">
        <v>36480000</v>
      </c>
      <c r="C40" s="10" t="n">
        <f aca="false">B40/B39-1</f>
        <v>-0.000274047684297063</v>
      </c>
    </row>
    <row r="41" customFormat="false" ht="15" hidden="false" customHeight="false" outlineLevel="0" collapsed="false">
      <c r="A41" s="14" t="n">
        <v>43496</v>
      </c>
      <c r="B41" s="15" t="n">
        <v>36980000</v>
      </c>
      <c r="C41" s="10" t="n">
        <f aca="false">B41/B40-1</f>
        <v>0.0137061403508771</v>
      </c>
    </row>
    <row r="42" customFormat="false" ht="15" hidden="false" customHeight="false" outlineLevel="0" collapsed="false">
      <c r="A42" s="14" t="n">
        <v>43524</v>
      </c>
      <c r="B42" s="15" t="n">
        <v>37020000</v>
      </c>
      <c r="C42" s="10" t="n">
        <f aca="false">B42/B41-1</f>
        <v>0.00108166576527857</v>
      </c>
    </row>
    <row r="43" customFormat="false" ht="15" hidden="false" customHeight="false" outlineLevel="0" collapsed="false">
      <c r="A43" s="14" t="n">
        <v>43553</v>
      </c>
      <c r="B43" s="15" t="n">
        <v>36530000</v>
      </c>
      <c r="C43" s="10" t="n">
        <f aca="false">B43/B42-1</f>
        <v>-0.0132360886007563</v>
      </c>
    </row>
    <row r="44" customFormat="false" ht="15" hidden="false" customHeight="false" outlineLevel="0" collapsed="false">
      <c r="A44" s="14" t="n">
        <v>43585</v>
      </c>
      <c r="B44" s="15" t="n">
        <v>36300000</v>
      </c>
      <c r="C44" s="10" t="n">
        <f aca="false">B44/B43-1</f>
        <v>-0.00629619490829458</v>
      </c>
    </row>
    <row r="45" customFormat="false" ht="15" hidden="false" customHeight="false" outlineLevel="0" collapsed="false">
      <c r="A45" s="14" t="n">
        <v>43616</v>
      </c>
      <c r="B45" s="15" t="n">
        <v>36470000</v>
      </c>
      <c r="C45" s="10" t="n">
        <f aca="false">B45/B44-1</f>
        <v>0.00468319559228658</v>
      </c>
    </row>
    <row r="46" customFormat="false" ht="15" hidden="false" customHeight="false" outlineLevel="0" collapsed="false">
      <c r="A46" s="14" t="n">
        <v>43644</v>
      </c>
      <c r="B46" s="15" t="n">
        <v>39050000</v>
      </c>
      <c r="C46" s="10" t="n">
        <f aca="false">B46/B45-1</f>
        <v>0.0707430765012338</v>
      </c>
    </row>
    <row r="47" customFormat="false" ht="15" hidden="false" customHeight="false" outlineLevel="0" collapsed="false">
      <c r="A47" s="14" t="n">
        <v>43677</v>
      </c>
      <c r="B47" s="15" t="n">
        <v>39800000</v>
      </c>
      <c r="C47" s="10" t="n">
        <f aca="false">B47/B46-1</f>
        <v>0.0192061459667094</v>
      </c>
    </row>
    <row r="48" customFormat="false" ht="15" hidden="false" customHeight="false" outlineLevel="0" collapsed="false">
      <c r="A48" s="14" t="n">
        <v>43707</v>
      </c>
      <c r="B48" s="15" t="n">
        <v>42650000</v>
      </c>
      <c r="C48" s="10" t="n">
        <f aca="false">B48/B47-1</f>
        <v>0.0716080402010051</v>
      </c>
    </row>
    <row r="49" customFormat="false" ht="15" hidden="false" customHeight="false" outlineLevel="0" collapsed="false">
      <c r="A49" s="14" t="n">
        <v>43738</v>
      </c>
      <c r="B49" s="15" t="n">
        <v>41950000</v>
      </c>
      <c r="C49" s="10" t="n">
        <f aca="false">B49/B48-1</f>
        <v>-0.0164126611957796</v>
      </c>
    </row>
    <row r="50" customFormat="false" ht="15" hidden="false" customHeight="false" outlineLevel="0" collapsed="false">
      <c r="A50" s="14" t="n">
        <v>43769</v>
      </c>
      <c r="B50" s="15" t="n">
        <v>41930000</v>
      </c>
      <c r="C50" s="10" t="n">
        <f aca="false">B50/B49-1</f>
        <v>-0.000476758045292014</v>
      </c>
    </row>
    <row r="51" customFormat="false" ht="15" hidden="false" customHeight="false" outlineLevel="0" collapsed="false">
      <c r="A51" s="14" t="n">
        <v>43798</v>
      </c>
      <c r="B51" s="15" t="n">
        <v>41330000</v>
      </c>
      <c r="C51" s="10" t="n">
        <f aca="false">B51/B50-1</f>
        <v>-0.0143095635583115</v>
      </c>
    </row>
    <row r="52" customFormat="false" ht="15" hidden="false" customHeight="false" outlineLevel="0" collapsed="false">
      <c r="A52" s="14" t="n">
        <v>43830</v>
      </c>
      <c r="B52" s="15" t="n">
        <v>42500000</v>
      </c>
      <c r="C52" s="10" t="n">
        <f aca="false">B52/B51-1</f>
        <v>0.028308734575369</v>
      </c>
    </row>
    <row r="53" customFormat="false" ht="15" hidden="false" customHeight="false" outlineLevel="0" collapsed="false">
      <c r="A53" s="14" t="n">
        <v>43861</v>
      </c>
      <c r="B53" s="15" t="n">
        <v>44950000</v>
      </c>
      <c r="C53" s="10" t="n">
        <f aca="false">B53/B52-1</f>
        <v>0.0576470588235294</v>
      </c>
    </row>
    <row r="54" customFormat="false" ht="15" hidden="false" customHeight="false" outlineLevel="0" collapsed="false">
      <c r="A54" s="14" t="n">
        <v>43889</v>
      </c>
      <c r="B54" s="15" t="n">
        <v>46600000</v>
      </c>
      <c r="C54" s="10" t="n">
        <f aca="false">B54/B53-1</f>
        <v>0.0367074527252502</v>
      </c>
    </row>
    <row r="55" customFormat="false" ht="15" hidden="false" customHeight="false" outlineLevel="0" collapsed="false">
      <c r="A55" s="14" t="n">
        <v>43921</v>
      </c>
      <c r="B55" s="15" t="n">
        <v>48200000</v>
      </c>
      <c r="C55" s="10" t="n">
        <f aca="false">B55/B54-1</f>
        <v>0.0343347639484979</v>
      </c>
    </row>
    <row r="56" customFormat="false" ht="15" hidden="false" customHeight="false" outlineLevel="0" collapsed="false">
      <c r="A56" s="14" t="n">
        <v>43950</v>
      </c>
      <c r="B56" s="15" t="n">
        <v>48500000</v>
      </c>
      <c r="C56" s="10" t="n">
        <f aca="false">B56/B55-1</f>
        <v>0.00622406639004147</v>
      </c>
    </row>
    <row r="57" customFormat="false" ht="15" hidden="false" customHeight="false" outlineLevel="0" collapsed="false">
      <c r="A57" s="14" t="n">
        <v>43980</v>
      </c>
      <c r="B57" s="15" t="n">
        <v>48680000</v>
      </c>
      <c r="C57" s="10" t="n">
        <f aca="false">B57/B56-1</f>
        <v>0.00371134020618547</v>
      </c>
    </row>
    <row r="58" customFormat="false" ht="15" hidden="false" customHeight="false" outlineLevel="0" collapsed="false">
      <c r="A58" s="14" t="n">
        <v>44012</v>
      </c>
      <c r="B58" s="15" t="n">
        <v>49320000</v>
      </c>
      <c r="C58" s="10" t="n">
        <f aca="false">B58/B57-1</f>
        <v>0.0131470829909615</v>
      </c>
    </row>
    <row r="59" customFormat="false" ht="15" hidden="false" customHeight="false" outlineLevel="0" collapsed="false">
      <c r="A59" s="14" t="n">
        <v>44043</v>
      </c>
      <c r="B59" s="15" t="n">
        <v>57800000</v>
      </c>
      <c r="C59" s="10" t="n">
        <f aca="false">B59/B58-1</f>
        <v>0.171938361719384</v>
      </c>
    </row>
    <row r="60" customFormat="false" ht="15" hidden="false" customHeight="false" outlineLevel="0" collapsed="false">
      <c r="A60" s="14" t="n">
        <v>44074</v>
      </c>
      <c r="B60" s="15" t="n">
        <v>57400000</v>
      </c>
      <c r="C60" s="10" t="n">
        <f aca="false">B60/B59-1</f>
        <v>-0.00692041522491349</v>
      </c>
    </row>
    <row r="61" customFormat="false" ht="15" hidden="false" customHeight="false" outlineLevel="0" collapsed="false">
      <c r="A61" s="14" t="n">
        <v>44104</v>
      </c>
      <c r="B61" s="15" t="n">
        <v>55600000</v>
      </c>
      <c r="C61" s="10" t="n">
        <f aca="false">B61/B60-1</f>
        <v>-0.0313588850174216</v>
      </c>
    </row>
    <row r="62" customFormat="false" ht="15" hidden="false" customHeight="false" outlineLevel="0" collapsed="false">
      <c r="A62" s="14" t="n">
        <v>44134</v>
      </c>
      <c r="B62" s="15" t="n">
        <v>56350000</v>
      </c>
      <c r="C62" s="10" t="n">
        <f aca="false">B62/B61-1</f>
        <v>0.0134892086330936</v>
      </c>
    </row>
    <row r="63" customFormat="false" ht="15" hidden="false" customHeight="false" outlineLevel="0" collapsed="false">
      <c r="A63" s="14" t="n">
        <v>44165</v>
      </c>
      <c r="B63" s="15" t="n">
        <v>53750000</v>
      </c>
      <c r="C63" s="10" t="n">
        <f aca="false">B63/B62-1</f>
        <v>-0.0461401952085182</v>
      </c>
    </row>
    <row r="64" customFormat="false" ht="15" hidden="false" customHeight="false" outlineLevel="0" collapsed="false">
      <c r="A64" s="14" t="n">
        <v>44196</v>
      </c>
      <c r="B64" s="15" t="n">
        <v>56100000</v>
      </c>
      <c r="C64" s="10" t="n">
        <f aca="false">B64/B63-1</f>
        <v>0.0437209302325581</v>
      </c>
    </row>
    <row r="65" customFormat="false" ht="15" hidden="false" customHeight="false" outlineLevel="0" collapsed="false">
      <c r="A65" s="14" t="n">
        <v>44225</v>
      </c>
      <c r="B65" s="15" t="n">
        <v>56750000</v>
      </c>
      <c r="C65" s="10" t="n">
        <f aca="false">B65/B64-1</f>
        <v>0.0115864527629233</v>
      </c>
    </row>
    <row r="66" customFormat="false" ht="15" hidden="false" customHeight="false" outlineLevel="0" collapsed="false">
      <c r="A66" s="14" t="n">
        <v>44253</v>
      </c>
      <c r="B66" s="15" t="n">
        <v>56350000</v>
      </c>
      <c r="C66" s="10" t="n">
        <f aca="false">B66/B65-1</f>
        <v>-0.00704845814977972</v>
      </c>
    </row>
    <row r="67" customFormat="false" ht="15" hidden="false" customHeight="false" outlineLevel="0" collapsed="false">
      <c r="A67" s="14" t="n">
        <v>44286</v>
      </c>
      <c r="B67" s="15" t="n">
        <v>54500000</v>
      </c>
      <c r="C67" s="10" t="n">
        <f aca="false">B67/B66-1</f>
        <v>-0.0328305235137534</v>
      </c>
    </row>
    <row r="68" customFormat="false" ht="15" hidden="false" customHeight="false" outlineLevel="0" collapsed="false">
      <c r="A68" s="14" t="n">
        <v>44315</v>
      </c>
      <c r="B68" s="15" t="n">
        <v>55650000</v>
      </c>
      <c r="C68" s="10" t="n">
        <f aca="false">B68/B67-1</f>
        <v>0.0211009174311927</v>
      </c>
    </row>
    <row r="69" customFormat="false" ht="15" hidden="false" customHeight="false" outlineLevel="0" collapsed="false">
      <c r="A69" s="14" t="n">
        <v>44347</v>
      </c>
      <c r="B69" s="15" t="n">
        <v>57400000</v>
      </c>
      <c r="C69" s="10" t="n">
        <f aca="false">B69/B68-1</f>
        <v>0.0314465408805031</v>
      </c>
    </row>
    <row r="70" customFormat="false" ht="15" hidden="false" customHeight="false" outlineLevel="0" collapsed="false">
      <c r="A70" s="14" t="n">
        <v>44377</v>
      </c>
      <c r="B70" s="15" t="n">
        <v>56850000</v>
      </c>
      <c r="C70" s="10" t="n">
        <f aca="false">B70/B69-1</f>
        <v>-0.00958188153310102</v>
      </c>
    </row>
    <row r="71" customFormat="false" ht="15" hidden="false" customHeight="false" outlineLevel="0" collapsed="false">
      <c r="A71" s="14" t="n">
        <v>44407</v>
      </c>
      <c r="B71" s="15" t="n">
        <v>57400000</v>
      </c>
      <c r="C71" s="10" t="n">
        <f aca="false">B71/B70-1</f>
        <v>0.00967458223394901</v>
      </c>
    </row>
    <row r="72" customFormat="false" ht="15" hidden="false" customHeight="false" outlineLevel="0" collapsed="false">
      <c r="A72" s="14" t="n">
        <v>44439</v>
      </c>
      <c r="B72" s="15" t="n">
        <v>57400000</v>
      </c>
      <c r="C72" s="10" t="n">
        <f aca="false">B72/B71-1</f>
        <v>0</v>
      </c>
    </row>
    <row r="73" customFormat="false" ht="15" hidden="false" customHeight="false" outlineLevel="0" collapsed="false">
      <c r="A73" s="14" t="n">
        <v>44469</v>
      </c>
      <c r="B73" s="15" t="n">
        <v>56850000</v>
      </c>
      <c r="C73" s="10" t="n">
        <f aca="false">B73/B72-1</f>
        <v>-0.00958188153310102</v>
      </c>
    </row>
    <row r="74" customFormat="false" ht="15" hidden="false" customHeight="false" outlineLevel="0" collapsed="false">
      <c r="A74" s="14" t="n">
        <v>44498</v>
      </c>
      <c r="B74" s="15" t="n">
        <v>58500000</v>
      </c>
      <c r="C74" s="10" t="n">
        <f aca="false">B74/B73-1</f>
        <v>0.029023746701847</v>
      </c>
    </row>
    <row r="75" customFormat="false" ht="15" hidden="false" customHeight="false" outlineLevel="0" collapsed="false">
      <c r="A75" s="14" t="n">
        <v>44530</v>
      </c>
      <c r="B75" s="15" t="n">
        <v>60700000</v>
      </c>
      <c r="C75" s="10" t="n">
        <f aca="false">B75/B74-1</f>
        <v>0.0376068376068377</v>
      </c>
    </row>
    <row r="76" customFormat="false" ht="15" hidden="false" customHeight="false" outlineLevel="0" collapsed="false">
      <c r="A76" s="14" t="n">
        <v>44561</v>
      </c>
      <c r="B76" s="15" t="n">
        <v>61650000</v>
      </c>
      <c r="C76" s="10" t="n">
        <f aca="false">B76/B75-1</f>
        <v>0.0156507413509062</v>
      </c>
    </row>
    <row r="77" customFormat="false" ht="15" hidden="false" customHeight="false" outlineLevel="0" collapsed="false">
      <c r="A77" s="14" t="n">
        <v>44589</v>
      </c>
      <c r="B77" s="15" t="n">
        <v>62500000</v>
      </c>
      <c r="C77" s="10" t="n">
        <f aca="false">B77/B76-1</f>
        <v>0.013787510137875</v>
      </c>
    </row>
    <row r="78" customFormat="false" ht="15" hidden="false" customHeight="false" outlineLevel="0" collapsed="false">
      <c r="A78" s="14" t="n">
        <v>44620</v>
      </c>
      <c r="B78" s="15" t="n">
        <v>65950000</v>
      </c>
      <c r="C78" s="10" t="n">
        <f aca="false">B78/B77-1</f>
        <v>0.0551999999999999</v>
      </c>
    </row>
    <row r="79" customFormat="false" ht="15" hidden="false" customHeight="false" outlineLevel="0" collapsed="false">
      <c r="A79" s="14" t="n">
        <v>44651</v>
      </c>
      <c r="B79" s="15" t="n">
        <v>68850000</v>
      </c>
      <c r="C79" s="10" t="n">
        <f aca="false">B79/B78-1</f>
        <v>0.0439727065959059</v>
      </c>
    </row>
    <row r="80" customFormat="false" ht="15" hidden="false" customHeight="false" outlineLevel="0" collapsed="false">
      <c r="A80" s="14" t="n">
        <v>44680</v>
      </c>
      <c r="B80" s="15" t="n">
        <v>70350000</v>
      </c>
      <c r="C80" s="10" t="n">
        <f aca="false">B80/B79-1</f>
        <v>0.0217864923747277</v>
      </c>
    </row>
    <row r="81" customFormat="false" ht="15" hidden="false" customHeight="false" outlineLevel="0" collapsed="false">
      <c r="A81" s="14" t="n">
        <v>44712</v>
      </c>
      <c r="B81" s="15" t="n">
        <v>69500000</v>
      </c>
      <c r="C81" s="10" t="n">
        <f aca="false">B81/B80-1</f>
        <v>-0.0120824449182658</v>
      </c>
    </row>
    <row r="82" customFormat="false" ht="15" hidden="false" customHeight="false" outlineLevel="0" collapsed="false">
      <c r="A82" s="14" t="n">
        <v>44742</v>
      </c>
      <c r="B82" s="15" t="n">
        <v>68900000</v>
      </c>
      <c r="C82" s="10" t="n">
        <f aca="false">B82/B81-1</f>
        <v>-0.00863309352517983</v>
      </c>
    </row>
    <row r="83" customFormat="false" ht="15" hidden="false" customHeight="false" outlineLevel="0" collapsed="false">
      <c r="A83" s="14" t="n">
        <v>44771</v>
      </c>
      <c r="B83" s="15" t="n">
        <v>66700000</v>
      </c>
      <c r="C83" s="10" t="n">
        <f aca="false">B83/B82-1</f>
        <v>-0.0319303338171263</v>
      </c>
    </row>
    <row r="84" customFormat="false" ht="15" hidden="false" customHeight="false" outlineLevel="0" collapsed="false">
      <c r="A84" s="14" t="n">
        <v>44804</v>
      </c>
      <c r="B84" s="15" t="n">
        <v>66600000</v>
      </c>
      <c r="C84" s="10" t="n">
        <f aca="false">B84/B83-1</f>
        <v>-0.00149925037481258</v>
      </c>
    </row>
    <row r="85" customFormat="false" ht="15" hidden="false" customHeight="false" outlineLevel="0" collapsed="false">
      <c r="A85" s="14" t="n">
        <v>44834</v>
      </c>
      <c r="B85" s="15" t="n">
        <v>66400000</v>
      </c>
      <c r="C85" s="10" t="n">
        <f aca="false">B85/B84-1</f>
        <v>-0.00300300300300305</v>
      </c>
    </row>
    <row r="86" customFormat="false" ht="15" hidden="false" customHeight="false" outlineLevel="0" collapsed="false">
      <c r="A86" s="14" t="n">
        <v>44865</v>
      </c>
      <c r="B86" s="15" t="n">
        <v>67000000</v>
      </c>
      <c r="C86" s="10" t="n">
        <f aca="false">B86/B85-1</f>
        <v>0.00903614457831314</v>
      </c>
    </row>
    <row r="87" customFormat="false" ht="15" hidden="false" customHeight="false" outlineLevel="0" collapsed="false">
      <c r="A87" s="14" t="n">
        <v>44895</v>
      </c>
      <c r="B87" s="15" t="n">
        <v>67300000</v>
      </c>
      <c r="C87" s="10" t="n">
        <f aca="false">B87/B86-1</f>
        <v>0.0044776119402985</v>
      </c>
    </row>
    <row r="88" customFormat="false" ht="15" hidden="false" customHeight="false" outlineLevel="0" collapsed="false">
      <c r="A88" s="14" t="n">
        <v>44925</v>
      </c>
      <c r="B88" s="15" t="n">
        <v>66700000</v>
      </c>
      <c r="C88" s="10" t="n">
        <f aca="false">B88/B87-1</f>
        <v>-0.00891530460624068</v>
      </c>
    </row>
    <row r="89" customFormat="false" ht="15" hidden="false" customHeight="false" outlineLevel="0" collapsed="false">
      <c r="A89" s="14" t="n">
        <v>44957</v>
      </c>
      <c r="B89" s="15" t="n">
        <v>67600000</v>
      </c>
      <c r="C89" s="10" t="n">
        <f aca="false">B89/B88-1</f>
        <v>0.0134932533733134</v>
      </c>
    </row>
    <row r="90" customFormat="false" ht="15" hidden="false" customHeight="false" outlineLevel="0" collapsed="false">
      <c r="A90" s="14" t="n">
        <v>44985</v>
      </c>
      <c r="B90" s="15" t="n">
        <v>66850000</v>
      </c>
      <c r="C90" s="10" t="n">
        <f aca="false">B90/B89-1</f>
        <v>-0.011094674556213</v>
      </c>
    </row>
    <row r="91" customFormat="false" ht="15" hidden="false" customHeight="false" outlineLevel="0" collapsed="false">
      <c r="A91" s="14" t="n">
        <v>45016</v>
      </c>
      <c r="B91" s="15" t="n">
        <v>67050000</v>
      </c>
      <c r="C91" s="10" t="n">
        <f aca="false">B91/B90-1</f>
        <v>0.00299177262528039</v>
      </c>
    </row>
    <row r="92" customFormat="false" ht="15" hidden="false" customHeight="false" outlineLevel="0" collapsed="false">
      <c r="A92" s="14" t="n">
        <v>45044</v>
      </c>
      <c r="B92" s="15" t="n">
        <v>67200000</v>
      </c>
      <c r="C92" s="10" t="n">
        <f aca="false">B92/B91-1</f>
        <v>0.00223713646532442</v>
      </c>
    </row>
    <row r="93" customFormat="false" ht="15" hidden="false" customHeight="false" outlineLevel="0" collapsed="false">
      <c r="A93" s="14" t="n">
        <v>45077</v>
      </c>
      <c r="B93" s="15" t="n">
        <v>67050000</v>
      </c>
      <c r="C93" s="10" t="n">
        <f aca="false">B93/B92-1</f>
        <v>-0.0022321428571429</v>
      </c>
    </row>
    <row r="94" customFormat="false" ht="15" hidden="false" customHeight="false" outlineLevel="0" collapsed="false">
      <c r="A94" s="14" t="n">
        <v>45107</v>
      </c>
      <c r="B94" s="15" t="n">
        <v>66950000</v>
      </c>
      <c r="C94" s="10" t="n">
        <f aca="false">B94/B93-1</f>
        <v>-0.00149142431021621</v>
      </c>
    </row>
    <row r="95" customFormat="false" ht="15" hidden="false" customHeight="false" outlineLevel="0" collapsed="false">
      <c r="A95" s="14" t="n">
        <v>45138</v>
      </c>
      <c r="B95" s="15" t="n">
        <v>67250000</v>
      </c>
      <c r="C95" s="10" t="n">
        <f aca="false">B95/B94-1</f>
        <v>0.00448095593726672</v>
      </c>
    </row>
    <row r="96" customFormat="false" ht="15" hidden="false" customHeight="false" outlineLevel="0" collapsed="false">
      <c r="A96" s="14" t="n">
        <v>45169</v>
      </c>
      <c r="B96" s="15" t="n">
        <v>68250000</v>
      </c>
      <c r="C96" s="10" t="n">
        <f aca="false">B96/B95-1</f>
        <v>0.0148698884758365</v>
      </c>
    </row>
    <row r="97" customFormat="false" ht="15" hidden="false" customHeight="false" outlineLevel="0" collapsed="false">
      <c r="A97" s="14" t="n">
        <v>45198</v>
      </c>
      <c r="B97" s="15" t="n">
        <v>68900000</v>
      </c>
      <c r="C97" s="10" t="n">
        <f aca="false">B97/B96-1</f>
        <v>0.00952380952380949</v>
      </c>
    </row>
    <row r="98" customFormat="false" ht="15" hidden="false" customHeight="false" outlineLevel="0" collapsed="false">
      <c r="A98" s="14" t="n">
        <v>45230</v>
      </c>
      <c r="B98" s="15" t="n">
        <v>70800000</v>
      </c>
      <c r="C98" s="10" t="n">
        <f aca="false">B98/B97-1</f>
        <v>0.0275761973875182</v>
      </c>
    </row>
    <row r="99" customFormat="false" ht="15" hidden="false" customHeight="false" outlineLevel="0" collapsed="false">
      <c r="A99" s="14" t="n">
        <v>45260</v>
      </c>
      <c r="B99" s="15" t="n">
        <v>73600000</v>
      </c>
      <c r="C99" s="10" t="n">
        <f aca="false">B99/B98-1</f>
        <v>0.03954802259887</v>
      </c>
    </row>
    <row r="100" customFormat="false" ht="15" hidden="false" customHeight="false" outlineLevel="0" collapsed="false">
      <c r="A100" s="14" t="n">
        <v>45289</v>
      </c>
      <c r="B100" s="15" t="n">
        <v>76000000</v>
      </c>
      <c r="C100" s="10" t="n">
        <f aca="false">B100/B99-1</f>
        <v>0.0326086956521738</v>
      </c>
    </row>
    <row r="101" customFormat="false" ht="15" hidden="false" customHeight="false" outlineLevel="0" collapsed="false">
      <c r="A101" s="14" t="n">
        <v>45322</v>
      </c>
      <c r="B101" s="15" t="n">
        <v>77900000</v>
      </c>
      <c r="C101" s="10" t="n">
        <f aca="false">B101/B100-1</f>
        <v>0.0249999999999999</v>
      </c>
    </row>
    <row r="102" customFormat="false" ht="15" hidden="false" customHeight="false" outlineLevel="0" collapsed="false">
      <c r="A102" s="14" t="n">
        <v>45351</v>
      </c>
      <c r="B102" s="15" t="n">
        <v>79500000</v>
      </c>
      <c r="C102" s="10" t="n">
        <f aca="false">B102/B101-1</f>
        <v>0.0205391527599486</v>
      </c>
    </row>
    <row r="103" customFormat="false" ht="15" hidden="false" customHeight="false" outlineLevel="0" collapsed="false">
      <c r="A103" s="14" t="n">
        <v>45380</v>
      </c>
      <c r="B103" s="15" t="n">
        <v>81000000</v>
      </c>
      <c r="C103" s="10" t="n">
        <f aca="false">B103/B102-1</f>
        <v>0.0188679245283019</v>
      </c>
    </row>
    <row r="104" customFormat="false" ht="15" hidden="false" customHeight="false" outlineLevel="0" collapsed="false">
      <c r="A104" s="14" t="n">
        <v>45408</v>
      </c>
      <c r="B104" s="15" t="n">
        <v>85200000</v>
      </c>
      <c r="C104" s="10" t="n">
        <f aca="false">B104/B103-1</f>
        <v>0.0518518518518518</v>
      </c>
    </row>
    <row r="105" customFormat="false" ht="15" hidden="false" customHeight="false" outlineLevel="0" collapsed="false">
      <c r="A105" s="14" t="n">
        <v>45443</v>
      </c>
      <c r="B105" s="15" t="n">
        <v>87000000</v>
      </c>
      <c r="C105" s="10" t="n">
        <f aca="false">B105/B104-1</f>
        <v>0.0211267605633803</v>
      </c>
    </row>
    <row r="106" customFormat="false" ht="15" hidden="false" customHeight="false" outlineLevel="0" collapsed="false">
      <c r="A106" s="14" t="n">
        <v>45471</v>
      </c>
      <c r="B106" s="15" t="n">
        <v>76980000</v>
      </c>
      <c r="C106" s="10" t="n">
        <f aca="false">B106/B105-1</f>
        <v>-0.115172413793104</v>
      </c>
    </row>
    <row r="107" customFormat="false" ht="15" hidden="false" customHeight="false" outlineLevel="0" collapsed="false">
      <c r="A107" s="14" t="n">
        <v>45504</v>
      </c>
      <c r="B107" s="15" t="n">
        <v>79000000</v>
      </c>
      <c r="C107" s="10" t="n">
        <f aca="false">B107/B106-1</f>
        <v>0.0262405819693428</v>
      </c>
    </row>
    <row r="108" customFormat="false" ht="15" hidden="false" customHeight="false" outlineLevel="0" collapsed="false">
      <c r="A108" s="14" t="n">
        <v>45534</v>
      </c>
      <c r="B108" s="15" t="n">
        <v>81000000</v>
      </c>
      <c r="C108" s="10" t="n">
        <f aca="false">B108/B107-1</f>
        <v>0.0253164556962024</v>
      </c>
    </row>
    <row r="109" customFormat="false" ht="15" hidden="false" customHeight="false" outlineLevel="0" collapsed="false">
      <c r="A109" s="14" t="n">
        <v>45565</v>
      </c>
      <c r="B109" s="15" t="n">
        <v>83500000</v>
      </c>
      <c r="C109" s="10" t="n">
        <f aca="false">B109/B108-1</f>
        <v>0.0308641975308641</v>
      </c>
    </row>
    <row r="110" customFormat="false" ht="15" hidden="false" customHeight="false" outlineLevel="0" collapsed="false">
      <c r="A110" s="14" t="n">
        <v>45596</v>
      </c>
      <c r="B110" s="15" t="n">
        <v>90000000</v>
      </c>
      <c r="C110" s="10" t="n">
        <f aca="false">B110/B109-1</f>
        <v>0.0778443113772456</v>
      </c>
    </row>
    <row r="111" customFormat="false" ht="15" hidden="false" customHeight="false" outlineLevel="0" collapsed="false">
      <c r="A111" s="14" t="n">
        <v>45625</v>
      </c>
      <c r="B111" s="15" t="n">
        <v>85800000</v>
      </c>
      <c r="C111" s="10" t="n">
        <f aca="false">B111/B110-1</f>
        <v>-0.0466666666666666</v>
      </c>
    </row>
    <row r="112" customFormat="false" ht="15" hidden="false" customHeight="false" outlineLevel="0" collapsed="false">
      <c r="A112" s="14" t="n">
        <v>45657</v>
      </c>
      <c r="B112" s="15" t="n">
        <v>84200000</v>
      </c>
      <c r="C112" s="10" t="n">
        <f aca="false">B112/B111-1</f>
        <v>-0.0186480186480187</v>
      </c>
    </row>
    <row r="113" customFormat="false" ht="15" hidden="false" customHeight="false" outlineLevel="0" collapsed="false">
      <c r="A113" s="14" t="n">
        <v>45681</v>
      </c>
      <c r="B113" s="15" t="n">
        <v>88800000</v>
      </c>
      <c r="C113" s="10" t="n">
        <f aca="false">B113/B112-1</f>
        <v>0.0546318289786223</v>
      </c>
    </row>
    <row r="114" customFormat="false" ht="15" hidden="false" customHeight="false" outlineLevel="0" collapsed="false">
      <c r="A114" s="14" t="n">
        <v>45716</v>
      </c>
      <c r="B114" s="15" t="n">
        <v>90500000</v>
      </c>
      <c r="C114" s="10" t="n">
        <f aca="false">B114/B113-1</f>
        <v>0.0191441441441442</v>
      </c>
    </row>
    <row r="115" customFormat="false" ht="15" hidden="false" customHeight="false" outlineLevel="0" collapsed="false">
      <c r="A115" s="14" t="n">
        <v>45747</v>
      </c>
      <c r="B115" s="15" t="n">
        <v>101800000</v>
      </c>
      <c r="C115" s="10" t="n">
        <f aca="false">B115/B114-1</f>
        <v>0.124861878453039</v>
      </c>
    </row>
    <row r="116" customFormat="false" ht="15" hidden="false" customHeight="false" outlineLevel="0" collapsed="false">
      <c r="A116" s="14" t="n">
        <v>45776</v>
      </c>
      <c r="B116" s="15" t="n">
        <v>121300000</v>
      </c>
      <c r="C116" s="10" t="n">
        <f aca="false">B116/B115-1</f>
        <v>0.191552062868369</v>
      </c>
    </row>
    <row r="117" customFormat="false" ht="15" hidden="false" customHeight="false" outlineLevel="0" collapsed="false">
      <c r="A117" s="14" t="n">
        <v>45807</v>
      </c>
      <c r="B117" s="15" t="n">
        <v>118500000</v>
      </c>
      <c r="C117" s="10" t="n">
        <f aca="false">B117/B116-1</f>
        <v>-0.0230832646331409</v>
      </c>
    </row>
    <row r="118" customFormat="false" ht="15" hidden="false" customHeight="false" outlineLevel="0" collapsed="false">
      <c r="A118" s="14" t="n">
        <v>45838</v>
      </c>
      <c r="B118" s="15" t="n">
        <v>119500000</v>
      </c>
      <c r="C118" s="10" t="n">
        <f aca="false">B118/B117-1</f>
        <v>0.00843881856540074</v>
      </c>
    </row>
    <row r="119" customFormat="false" ht="15" hidden="false" customHeight="false" outlineLevel="0" collapsed="false">
      <c r="A119" s="14" t="n">
        <v>45869</v>
      </c>
      <c r="B119" s="15" t="n">
        <v>121400000</v>
      </c>
      <c r="C119" s="10" t="n">
        <f aca="false">B119/B118-1</f>
        <v>0.0158995815899581</v>
      </c>
    </row>
    <row r="120" customFormat="false" ht="15" hidden="false" customHeight="false" outlineLevel="0" collapsed="false">
      <c r="A120" s="14" t="n">
        <v>45898</v>
      </c>
      <c r="B120" s="15" t="n">
        <v>129300000</v>
      </c>
      <c r="C120" s="10" t="n">
        <f aca="false">B120/B119-1</f>
        <v>0.0650741350906097</v>
      </c>
    </row>
    <row r="121" customFormat="false" ht="15" hidden="false" customHeight="false" outlineLevel="0" collapsed="false">
      <c r="A121" s="14" t="n">
        <v>45930</v>
      </c>
      <c r="B121" s="15" t="n">
        <v>136800000</v>
      </c>
      <c r="C121" s="10" t="n">
        <f aca="false">B121/B120-1</f>
        <v>0.0580046403712298</v>
      </c>
    </row>
    <row r="122" customFormat="false" ht="15" hidden="false" customHeight="false" outlineLevel="0" collapsed="false">
      <c r="A122" s="14" t="n">
        <v>45961</v>
      </c>
      <c r="B122" s="15" t="n">
        <v>148400000</v>
      </c>
      <c r="C122" s="10" t="n">
        <f aca="false">B122/B121-1</f>
        <v>0.0847953216374269</v>
      </c>
    </row>
    <row r="123" customFormat="false" ht="15" hidden="false" customHeight="false" outlineLevel="0" collapsed="false">
      <c r="A123" s="14" t="n">
        <v>45989</v>
      </c>
      <c r="B123" s="15" t="n">
        <v>154200000</v>
      </c>
      <c r="C123" s="10" t="n">
        <f aca="false">B123/B122-1</f>
        <v>0.0390835579514826</v>
      </c>
    </row>
    <row r="124" customFormat="false" ht="15" hidden="false" customHeight="false" outlineLevel="0" collapsed="false">
      <c r="A124" s="14" t="n">
        <v>46022</v>
      </c>
      <c r="B124" s="15" t="n">
        <v>152800000</v>
      </c>
      <c r="C124" s="10" t="n">
        <f aca="false">B124/B123-1</f>
        <v>-0.00907911802853434</v>
      </c>
    </row>
    <row r="125" customFormat="false" ht="15" hidden="false" customHeight="false" outlineLevel="0" collapsed="false">
      <c r="A125" s="14" t="n">
        <v>46052</v>
      </c>
      <c r="B125" s="15" t="n">
        <v>181000000</v>
      </c>
      <c r="C125" s="10" t="n">
        <f aca="false">B125/B124-1</f>
        <v>0.18455497382199</v>
      </c>
    </row>
    <row r="126" customFormat="false" ht="15" hidden="false" customHeight="false" outlineLevel="0" collapsed="false">
      <c r="A126" s="14" t="n">
        <v>46080</v>
      </c>
      <c r="B126" s="15" t="n">
        <v>184000000</v>
      </c>
      <c r="C126" s="10" t="n">
        <f aca="false">B126/B125-1</f>
        <v>0.0165745856353592</v>
      </c>
    </row>
    <row r="127" customFormat="false" ht="15" hidden="false" customHeight="false" outlineLevel="0" collapsed="false">
      <c r="A127" s="14" t="n">
        <v>46112</v>
      </c>
      <c r="B127" s="15" t="n">
        <v>176000000</v>
      </c>
      <c r="C127" s="10" t="n">
        <f aca="false">B127/B126-1</f>
        <v>-0.0434782608695652</v>
      </c>
    </row>
    <row r="128" customFormat="false" ht="15" hidden="false" customHeight="false" outlineLevel="0" collapsed="false">
      <c r="A128" s="14" t="n">
        <v>46142</v>
      </c>
      <c r="B128" s="15" t="n">
        <v>166000000</v>
      </c>
      <c r="C128" s="10" t="n">
        <f aca="false">B128/B127-1</f>
        <v>-0.0568181818181818</v>
      </c>
    </row>
    <row r="129" customFormat="false" ht="15" hidden="false" customHeight="false" outlineLevel="0" collapsed="false">
      <c r="A129" s="14" t="n">
        <v>46171</v>
      </c>
      <c r="B129" s="15" t="n">
        <v>160000000</v>
      </c>
      <c r="C129" s="10" t="n">
        <f aca="false">B129/B128-1</f>
        <v>-0.036144578313253</v>
      </c>
    </row>
    <row r="130" customFormat="false" ht="15" hidden="false" customHeight="false" outlineLevel="0" collapsed="false">
      <c r="A130" s="14" t="n">
        <v>46203</v>
      </c>
      <c r="B130" s="15" t="n">
        <v>146000000</v>
      </c>
      <c r="C130" s="10" t="n">
        <f aca="false">B130/B129-1</f>
        <v>-0.0875</v>
      </c>
    </row>
    <row r="131" customFormat="false" ht="15" hidden="false" customHeight="false" outlineLevel="0" collapsed="false">
      <c r="A131" s="14" t="n">
        <v>46234</v>
      </c>
      <c r="B131" s="15" t="n">
        <v>141700000</v>
      </c>
      <c r="C131" s="10" t="n">
        <f aca="false">B131/B130-1</f>
        <v>-0.0294520547945205</v>
      </c>
    </row>
    <row r="132" customFormat="false" ht="15" hidden="false" customHeight="false" outlineLevel="0" collapsed="false">
      <c r="A132" s="14" t="n">
        <v>46265</v>
      </c>
      <c r="B132" s="15" t="n">
        <v>148700000</v>
      </c>
      <c r="C132" s="10" t="n">
        <f aca="false">B132/B131-1</f>
        <v>0.0494001411432603</v>
      </c>
    </row>
    <row r="133" customFormat="false" ht="15" hidden="false" customHeight="false" outlineLevel="0" collapsed="false">
      <c r="A133" s="14" t="n">
        <v>46290</v>
      </c>
      <c r="B133" s="15" t="n">
        <v>144400000</v>
      </c>
      <c r="C133" s="10" t="n">
        <f aca="false">B133/B132-1</f>
        <v>-0.0289172831203766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183</v>
      </c>
    </row>
    <row r="2" customFormat="false" ht="15" hidden="false" customHeight="false" outlineLevel="0" collapsed="false">
      <c r="A2" s="4" t="s">
        <v>184</v>
      </c>
    </row>
    <row r="4" customFormat="false" ht="15" hidden="false" customHeight="false" outlineLevel="0" collapsed="false">
      <c r="A4" s="5" t="s">
        <v>185</v>
      </c>
      <c r="B4" s="5" t="s">
        <v>186</v>
      </c>
      <c r="C4" s="5" t="s">
        <v>187</v>
      </c>
    </row>
    <row r="5" customFormat="false" ht="15" hidden="false" customHeight="false" outlineLevel="0" collapsed="false">
      <c r="A5" s="16" t="s">
        <v>188</v>
      </c>
      <c r="B5" s="13" t="n">
        <v>0.056</v>
      </c>
      <c r="C5" s="13" t="n">
        <v>0.0638</v>
      </c>
      <c r="E5" s="2" t="s">
        <v>189</v>
      </c>
      <c r="F5" s="10" t="n">
        <f aca="false">AVERAGE(C5:C15)</f>
        <v>0.0402181818181818</v>
      </c>
    </row>
    <row r="6" customFormat="false" ht="15" hidden="false" customHeight="false" outlineLevel="0" collapsed="false">
      <c r="A6" s="16" t="s">
        <v>172</v>
      </c>
      <c r="B6" s="13" t="n">
        <v>0.0435</v>
      </c>
      <c r="C6" s="13" t="n">
        <v>0.0519</v>
      </c>
      <c r="E6" s="2" t="s">
        <v>190</v>
      </c>
      <c r="F6" s="10" t="n">
        <f aca="false">STDEV(C5:C15)</f>
        <v>0.0136507009477036</v>
      </c>
    </row>
    <row r="7" customFormat="false" ht="15" hidden="false" customHeight="false" outlineLevel="0" collapsed="false">
      <c r="A7" s="16" t="s">
        <v>173</v>
      </c>
      <c r="B7" s="13" t="n">
        <v>0.0456</v>
      </c>
      <c r="C7" s="13" t="n">
        <v>0.0513</v>
      </c>
      <c r="E7" s="2" t="s">
        <v>191</v>
      </c>
      <c r="F7" s="10" t="n">
        <f aca="false">AVERAGE(B5:B15)</f>
        <v>0.0322727272727273</v>
      </c>
    </row>
    <row r="8" customFormat="false" ht="15" hidden="false" customHeight="false" outlineLevel="0" collapsed="false">
      <c r="A8" s="16" t="s">
        <v>174</v>
      </c>
      <c r="B8" s="13" t="n">
        <v>0.0203</v>
      </c>
      <c r="C8" s="13" t="n">
        <v>0.0342</v>
      </c>
      <c r="E8" s="2" t="s">
        <v>192</v>
      </c>
      <c r="F8" s="10" t="n">
        <f aca="false">STDEV(B5:B15)</f>
        <v>0.0163854869264902</v>
      </c>
    </row>
    <row r="9" customFormat="false" ht="15" hidden="false" customHeight="false" outlineLevel="0" collapsed="false">
      <c r="A9" s="16" t="s">
        <v>175</v>
      </c>
      <c r="B9" s="13" t="n">
        <v>0.0121</v>
      </c>
      <c r="C9" s="13" t="n">
        <v>0.0245</v>
      </c>
    </row>
    <row r="10" customFormat="false" ht="15" hidden="false" customHeight="false" outlineLevel="0" collapsed="false">
      <c r="A10" s="16" t="s">
        <v>176</v>
      </c>
      <c r="B10" s="13" t="n">
        <v>0.0088</v>
      </c>
      <c r="C10" s="13" t="n">
        <v>0.0235</v>
      </c>
    </row>
    <row r="11" customFormat="false" ht="15" hidden="false" customHeight="false" outlineLevel="0" collapsed="false">
      <c r="A11" s="16" t="s">
        <v>177</v>
      </c>
      <c r="B11" s="13" t="n">
        <v>0.0493</v>
      </c>
      <c r="C11" s="13" t="n">
        <v>0.0504</v>
      </c>
    </row>
    <row r="12" customFormat="false" ht="15" hidden="false" customHeight="false" outlineLevel="0" collapsed="false">
      <c r="A12" s="16" t="s">
        <v>178</v>
      </c>
      <c r="B12" s="13" t="n">
        <v>0.0172</v>
      </c>
      <c r="C12" s="13" t="n">
        <v>0.0239</v>
      </c>
    </row>
    <row r="13" customFormat="false" ht="15" hidden="false" customHeight="false" outlineLevel="0" collapsed="false">
      <c r="A13" s="16" t="s">
        <v>179</v>
      </c>
      <c r="B13" s="13" t="n">
        <v>0.0244</v>
      </c>
      <c r="C13" s="13" t="n">
        <v>0.0312</v>
      </c>
    </row>
    <row r="14" customFormat="false" ht="15" hidden="false" customHeight="false" outlineLevel="0" collapsed="false">
      <c r="A14" s="16" t="s">
        <v>180</v>
      </c>
      <c r="B14" s="13" t="n">
        <v>0.0339</v>
      </c>
      <c r="C14" s="13" t="n">
        <v>0.0419</v>
      </c>
    </row>
    <row r="15" customFormat="false" ht="15" hidden="false" customHeight="false" outlineLevel="0" collapsed="false">
      <c r="A15" s="16" t="s">
        <v>193</v>
      </c>
      <c r="B15" s="13" t="n">
        <v>0.0439</v>
      </c>
      <c r="C15" s="13" t="n">
        <v>0.0458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194</v>
      </c>
    </row>
    <row r="2" customFormat="false" ht="15" hidden="false" customHeight="false" outlineLevel="0" collapsed="false">
      <c r="A2" s="4" t="s">
        <v>195</v>
      </c>
    </row>
    <row r="4" customFormat="false" ht="23.85" hidden="false" customHeight="false" outlineLevel="0" collapsed="false">
      <c r="A4" s="5" t="s">
        <v>185</v>
      </c>
      <c r="B4" s="5" t="s">
        <v>196</v>
      </c>
      <c r="C4" s="5" t="s">
        <v>197</v>
      </c>
    </row>
    <row r="5" customFormat="false" ht="15" hidden="false" customHeight="false" outlineLevel="0" collapsed="false">
      <c r="A5" s="16" t="s">
        <v>188</v>
      </c>
      <c r="B5" s="13" t="n">
        <v>0.065</v>
      </c>
      <c r="C5" s="13" t="n">
        <v>0.072</v>
      </c>
      <c r="E5" s="2" t="s">
        <v>198</v>
      </c>
      <c r="F5" s="10" t="n">
        <f aca="false">AVERAGE(B5:B15)</f>
        <v>0.065</v>
      </c>
    </row>
    <row r="6" customFormat="false" ht="15" hidden="false" customHeight="false" outlineLevel="0" collapsed="false">
      <c r="A6" s="16" t="s">
        <v>172</v>
      </c>
      <c r="B6" s="13" t="n">
        <v>0.065</v>
      </c>
      <c r="C6" s="13" t="n">
        <v>0.073</v>
      </c>
      <c r="E6" s="2" t="s">
        <v>199</v>
      </c>
      <c r="F6" s="10" t="n">
        <f aca="false">STDEV(B5:B15)</f>
        <v>0.00816088230524127</v>
      </c>
    </row>
    <row r="7" customFormat="false" ht="15" hidden="false" customHeight="false" outlineLevel="0" collapsed="false">
      <c r="A7" s="16" t="s">
        <v>173</v>
      </c>
      <c r="B7" s="13" t="n">
        <v>0.065</v>
      </c>
      <c r="C7" s="13" t="n">
        <v>0.073</v>
      </c>
      <c r="E7" s="2" t="s">
        <v>200</v>
      </c>
      <c r="F7" s="10" t="n">
        <f aca="false">AVERAGE(C5:C15)</f>
        <v>0.0709090909090909</v>
      </c>
    </row>
    <row r="8" customFormat="false" ht="15" hidden="false" customHeight="false" outlineLevel="0" collapsed="false">
      <c r="A8" s="16" t="s">
        <v>174</v>
      </c>
      <c r="B8" s="13" t="n">
        <v>0.07</v>
      </c>
      <c r="C8" s="13" t="n">
        <v>0.075</v>
      </c>
      <c r="E8" s="2" t="s">
        <v>201</v>
      </c>
      <c r="F8" s="10" t="n">
        <f aca="false">STDEV(C5:C15)</f>
        <v>0.00630007214965901</v>
      </c>
    </row>
    <row r="9" customFormat="false" ht="15" hidden="false" customHeight="false" outlineLevel="0" collapsed="false">
      <c r="A9" s="16" t="s">
        <v>175</v>
      </c>
      <c r="B9" s="13" t="n">
        <v>0.06</v>
      </c>
      <c r="C9" s="13" t="n">
        <v>0.068</v>
      </c>
    </row>
    <row r="10" customFormat="false" ht="15" hidden="false" customHeight="false" outlineLevel="0" collapsed="false">
      <c r="A10" s="16" t="s">
        <v>176</v>
      </c>
      <c r="B10" s="13" t="n">
        <v>0.057</v>
      </c>
      <c r="C10" s="13" t="n">
        <v>0.065</v>
      </c>
    </row>
    <row r="11" customFormat="false" ht="15" hidden="false" customHeight="false" outlineLevel="0" collapsed="false">
      <c r="A11" s="16" t="s">
        <v>177</v>
      </c>
      <c r="B11" s="13" t="n">
        <v>0.076</v>
      </c>
      <c r="C11" s="13" t="n">
        <v>0.074</v>
      </c>
    </row>
    <row r="12" customFormat="false" ht="15" hidden="false" customHeight="false" outlineLevel="0" collapsed="false">
      <c r="A12" s="16" t="s">
        <v>178</v>
      </c>
      <c r="B12" s="13" t="n">
        <v>0.066</v>
      </c>
      <c r="C12" s="13" t="n">
        <v>0.081</v>
      </c>
    </row>
    <row r="13" customFormat="false" ht="15" hidden="false" customHeight="false" outlineLevel="0" collapsed="false">
      <c r="A13" s="16" t="s">
        <v>179</v>
      </c>
      <c r="B13" s="13" t="n">
        <v>0.052</v>
      </c>
      <c r="C13" s="13" t="n">
        <v>0.059</v>
      </c>
    </row>
    <row r="14" customFormat="false" ht="15" hidden="false" customHeight="false" outlineLevel="0" collapsed="false">
      <c r="A14" s="16" t="s">
        <v>180</v>
      </c>
      <c r="B14" s="13" t="n">
        <v>0.059</v>
      </c>
      <c r="C14" s="13" t="n">
        <v>0.064</v>
      </c>
    </row>
    <row r="15" customFormat="false" ht="15" hidden="false" customHeight="false" outlineLevel="0" collapsed="false">
      <c r="A15" s="16" t="s">
        <v>193</v>
      </c>
      <c r="B15" s="13" t="n">
        <v>0.08</v>
      </c>
      <c r="C15" s="13" t="n">
        <v>0.076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202</v>
      </c>
    </row>
    <row r="2" customFormat="false" ht="15" hidden="false" customHeight="false" outlineLevel="0" collapsed="false">
      <c r="A2" s="4" t="s">
        <v>203</v>
      </c>
    </row>
    <row r="4" customFormat="false" ht="15" hidden="false" customHeight="false" outlineLevel="0" collapsed="false">
      <c r="A4" s="5" t="s">
        <v>185</v>
      </c>
      <c r="B4" s="5" t="s">
        <v>204</v>
      </c>
    </row>
    <row r="5" customFormat="false" ht="15" hidden="false" customHeight="false" outlineLevel="0" collapsed="false">
      <c r="A5" s="16" t="s">
        <v>188</v>
      </c>
      <c r="B5" s="13" t="n">
        <v>0.0266824817</v>
      </c>
      <c r="E5" s="2" t="s">
        <v>205</v>
      </c>
      <c r="F5" s="10" t="n">
        <f aca="false">AVERAGE(B5:B14)</f>
        <v>0.030920092915</v>
      </c>
    </row>
    <row r="6" customFormat="false" ht="15" hidden="false" customHeight="false" outlineLevel="0" collapsed="false">
      <c r="A6" s="16" t="s">
        <v>172</v>
      </c>
      <c r="B6" s="13" t="n">
        <v>0.03520256888</v>
      </c>
      <c r="E6" s="2" t="s">
        <v>206</v>
      </c>
      <c r="F6" s="10" t="n">
        <f aca="false">STDEV(B5:B14)</f>
        <v>0.00538099225605131</v>
      </c>
    </row>
    <row r="7" customFormat="false" ht="15" hidden="false" customHeight="false" outlineLevel="0" collapsed="false">
      <c r="A7" s="16" t="s">
        <v>173</v>
      </c>
      <c r="B7" s="13" t="n">
        <v>0.03539628059</v>
      </c>
    </row>
    <row r="8" customFormat="false" ht="15" hidden="false" customHeight="false" outlineLevel="0" collapsed="false">
      <c r="A8" s="16" t="s">
        <v>174</v>
      </c>
      <c r="B8" s="13" t="n">
        <v>0.02795823675</v>
      </c>
    </row>
    <row r="9" customFormat="false" ht="15" hidden="false" customHeight="false" outlineLevel="0" collapsed="false">
      <c r="A9" s="16" t="s">
        <v>175</v>
      </c>
      <c r="B9" s="13" t="n">
        <v>0.03220934367</v>
      </c>
    </row>
    <row r="10" customFormat="false" ht="15" hidden="false" customHeight="false" outlineLevel="0" collapsed="false">
      <c r="A10" s="16" t="s">
        <v>176</v>
      </c>
      <c r="B10" s="13" t="n">
        <v>0.01834715548</v>
      </c>
    </row>
    <row r="11" customFormat="false" ht="15" hidden="false" customHeight="false" outlineLevel="0" collapsed="false">
      <c r="A11" s="16" t="s">
        <v>177</v>
      </c>
      <c r="B11" s="13" t="n">
        <v>0.031565075</v>
      </c>
    </row>
    <row r="12" customFormat="false" ht="15" hidden="false" customHeight="false" outlineLevel="0" collapsed="false">
      <c r="A12" s="16" t="s">
        <v>178</v>
      </c>
      <c r="B12" s="13" t="n">
        <v>0.03252892827</v>
      </c>
    </row>
    <row r="13" customFormat="false" ht="15" hidden="false" customHeight="false" outlineLevel="0" collapsed="false">
      <c r="A13" s="16" t="s">
        <v>179</v>
      </c>
      <c r="B13" s="13" t="n">
        <v>0.03621092739</v>
      </c>
    </row>
    <row r="14" customFormat="false" ht="15" hidden="false" customHeight="false" outlineLevel="0" collapsed="false">
      <c r="A14" s="16" t="s">
        <v>180</v>
      </c>
      <c r="B14" s="13" t="n">
        <v>0.03309993142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207</v>
      </c>
    </row>
    <row r="2" customFormat="false" ht="15" hidden="false" customHeight="false" outlineLevel="0" collapsed="false">
      <c r="A2" s="4" t="s">
        <v>208</v>
      </c>
    </row>
    <row r="4" customFormat="false" ht="15" hidden="false" customHeight="false" outlineLevel="0" collapsed="false">
      <c r="A4" s="5" t="s">
        <v>185</v>
      </c>
      <c r="B4" s="5" t="s">
        <v>209</v>
      </c>
      <c r="C4" s="5" t="s">
        <v>210</v>
      </c>
    </row>
    <row r="5" customFormat="false" ht="15" hidden="false" customHeight="false" outlineLevel="0" collapsed="false">
      <c r="A5" s="16" t="s">
        <v>174</v>
      </c>
      <c r="B5" s="15" t="n">
        <v>4294500</v>
      </c>
      <c r="E5" s="2" t="s">
        <v>211</v>
      </c>
      <c r="F5" s="10" t="n">
        <f aca="false">AVERAGE(C6:C10)</f>
        <v>0.0486971821535195</v>
      </c>
    </row>
    <row r="6" customFormat="false" ht="15" hidden="false" customHeight="false" outlineLevel="0" collapsed="false">
      <c r="A6" s="16" t="s">
        <v>175</v>
      </c>
      <c r="B6" s="15" t="n">
        <v>4249800</v>
      </c>
      <c r="C6" s="10" t="n">
        <f aca="false">B6/B5-1</f>
        <v>-0.0104086622424031</v>
      </c>
      <c r="E6" s="2" t="s">
        <v>212</v>
      </c>
      <c r="F6" s="10" t="n">
        <f aca="false">STDEV(C6:C10)</f>
        <v>0.0568146632282994</v>
      </c>
    </row>
    <row r="7" customFormat="false" ht="15" hidden="false" customHeight="false" outlineLevel="0" collapsed="false">
      <c r="A7" s="16" t="s">
        <v>176</v>
      </c>
      <c r="B7" s="15" t="n">
        <v>4204800</v>
      </c>
      <c r="C7" s="10" t="n">
        <f aca="false">B7/B6-1</f>
        <v>-0.0105887335874629</v>
      </c>
    </row>
    <row r="8" customFormat="false" ht="15" hidden="false" customHeight="false" outlineLevel="0" collapsed="false">
      <c r="A8" s="16" t="s">
        <v>177</v>
      </c>
      <c r="B8" s="15" t="n">
        <v>4672500</v>
      </c>
      <c r="C8" s="10" t="n">
        <f aca="false">B8/B7-1</f>
        <v>0.11123002283105</v>
      </c>
      <c r="E8" s="2" t="s">
        <v>213</v>
      </c>
      <c r="F8" s="17" t="n">
        <f aca="false">STDEV(B5:B10)</f>
        <v>482902.348996841</v>
      </c>
    </row>
    <row r="9" customFormat="false" ht="15" hidden="false" customHeight="false" outlineLevel="0" collapsed="false">
      <c r="A9" s="16" t="s">
        <v>178</v>
      </c>
      <c r="B9" s="15" t="n">
        <v>4961800</v>
      </c>
      <c r="C9" s="10" t="n">
        <f aca="false">B9/B8-1</f>
        <v>0.0619154628143392</v>
      </c>
      <c r="E9" s="4" t="s">
        <v>214</v>
      </c>
    </row>
    <row r="10" customFormat="false" ht="15" hidden="false" customHeight="false" outlineLevel="0" collapsed="false">
      <c r="A10" s="16" t="s">
        <v>179</v>
      </c>
      <c r="B10" s="15" t="n">
        <v>5415000</v>
      </c>
      <c r="C10" s="10" t="n">
        <f aca="false">B10/B9-1</f>
        <v>0.0913378209520739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5" min="5" style="0" width="44"/>
    <col collapsed="false" customWidth="true" hidden="false" outlineLevel="0" max="8" min="6" style="0" width="14"/>
  </cols>
  <sheetData>
    <row r="1" customFormat="false" ht="15" hidden="false" customHeight="false" outlineLevel="0" collapsed="false">
      <c r="A1" s="3" t="s">
        <v>215</v>
      </c>
    </row>
    <row r="2" customFormat="false" ht="15" hidden="false" customHeight="false" outlineLevel="0" collapsed="false">
      <c r="A2" s="4" t="s">
        <v>216</v>
      </c>
    </row>
    <row r="4" customFormat="false" ht="15" hidden="false" customHeight="false" outlineLevel="0" collapsed="false">
      <c r="A4" s="5" t="s">
        <v>185</v>
      </c>
      <c r="B4" s="5" t="s">
        <v>217</v>
      </c>
      <c r="C4" s="5" t="s">
        <v>218</v>
      </c>
    </row>
    <row r="5" customFormat="false" ht="15" hidden="false" customHeight="false" outlineLevel="0" collapsed="false">
      <c r="A5" s="2" t="s">
        <v>188</v>
      </c>
      <c r="B5" s="15" t="n">
        <v>1300</v>
      </c>
      <c r="E5" s="2" t="s">
        <v>219</v>
      </c>
      <c r="F5" s="10" t="n">
        <f aca="false">(B14/B5)^(1/9)-1</f>
        <v>0.126574786343073</v>
      </c>
    </row>
    <row r="6" customFormat="false" ht="15" hidden="false" customHeight="false" outlineLevel="0" collapsed="false">
      <c r="A6" s="2" t="s">
        <v>172</v>
      </c>
      <c r="B6" s="15" t="n">
        <v>1200</v>
      </c>
      <c r="C6" s="18" t="n">
        <f aca="false">B6/B5-1</f>
        <v>-0.0769230769230769</v>
      </c>
      <c r="E6" s="2" t="s">
        <v>220</v>
      </c>
      <c r="F6" s="10" t="n">
        <f aca="false">(B9/B5)^(1/4)-1</f>
        <v>0.0364228437559397</v>
      </c>
    </row>
    <row r="7" customFormat="false" ht="15" hidden="false" customHeight="false" outlineLevel="0" collapsed="false">
      <c r="A7" s="2" t="s">
        <v>173</v>
      </c>
      <c r="B7" s="15" t="n">
        <v>1250</v>
      </c>
      <c r="C7" s="18" t="n">
        <f aca="false">B7/B6-1</f>
        <v>0.0416666666666667</v>
      </c>
      <c r="E7" s="2" t="s">
        <v>221</v>
      </c>
      <c r="F7" s="10" t="n">
        <f aca="false">(B14/B9)^(1/5)-1</f>
        <v>0.204310485211984</v>
      </c>
    </row>
    <row r="8" customFormat="false" ht="15" hidden="false" customHeight="false" outlineLevel="0" collapsed="false">
      <c r="A8" s="2" t="s">
        <v>174</v>
      </c>
      <c r="B8" s="15" t="n">
        <v>1400</v>
      </c>
      <c r="C8" s="18" t="n">
        <f aca="false">B8/B7-1</f>
        <v>0.12</v>
      </c>
      <c r="E8" s="2" t="s">
        <v>222</v>
      </c>
      <c r="F8" s="10" t="n">
        <f aca="false">AVERAGE(C6:C14)</f>
        <v>0.134559621664885</v>
      </c>
    </row>
    <row r="9" customFormat="false" ht="15" hidden="false" customHeight="false" outlineLevel="0" collapsed="false">
      <c r="A9" s="2" t="s">
        <v>175</v>
      </c>
      <c r="B9" s="15" t="n">
        <v>1500</v>
      </c>
      <c r="C9" s="18" t="n">
        <f aca="false">B9/B8-1</f>
        <v>0.0714285714285714</v>
      </c>
      <c r="E9" s="2" t="s">
        <v>223</v>
      </c>
      <c r="F9" s="10" t="n">
        <f aca="false">STDEV(C6:C14)</f>
        <v>0.142996092932078</v>
      </c>
    </row>
    <row r="10" customFormat="false" ht="15" hidden="false" customHeight="false" outlineLevel="0" collapsed="false">
      <c r="A10" s="2" t="s">
        <v>176</v>
      </c>
      <c r="B10" s="15" t="n">
        <v>1900</v>
      </c>
      <c r="C10" s="18" t="n">
        <f aca="false">B10/B9-1</f>
        <v>0.266666666666667</v>
      </c>
    </row>
    <row r="11" customFormat="false" ht="15" hidden="false" customHeight="false" outlineLevel="0" collapsed="false">
      <c r="A11" s="2" t="s">
        <v>177</v>
      </c>
      <c r="B11" s="15" t="n">
        <v>1900</v>
      </c>
      <c r="C11" s="18" t="n">
        <f aca="false">B11/B10-1</f>
        <v>0</v>
      </c>
      <c r="E11" s="1" t="s">
        <v>224</v>
      </c>
    </row>
    <row r="12" customFormat="false" ht="15" hidden="false" customHeight="false" outlineLevel="0" collapsed="false">
      <c r="A12" s="2" t="s">
        <v>178</v>
      </c>
      <c r="B12" s="15" t="n">
        <v>2200</v>
      </c>
      <c r="C12" s="18" t="n">
        <f aca="false">B12/B11-1</f>
        <v>0.157894736842105</v>
      </c>
      <c r="E12" s="2" t="s">
        <v>225</v>
      </c>
      <c r="F12" s="19" t="n">
        <f aca="false">CPI_WB!F5</f>
        <v>0.030920092915</v>
      </c>
    </row>
    <row r="13" customFormat="false" ht="15" hidden="false" customHeight="false" outlineLevel="0" collapsed="false">
      <c r="A13" s="2" t="s">
        <v>179</v>
      </c>
      <c r="B13" s="15" t="n">
        <v>3000</v>
      </c>
      <c r="C13" s="18" t="n">
        <f aca="false">B13/B12-1</f>
        <v>0.363636363636364</v>
      </c>
      <c r="E13" s="2" t="s">
        <v>226</v>
      </c>
      <c r="F13" s="20" t="n">
        <v>0.053</v>
      </c>
    </row>
    <row r="14" customFormat="false" ht="15" hidden="false" customHeight="false" outlineLevel="0" collapsed="false">
      <c r="A14" s="2" t="s">
        <v>180</v>
      </c>
      <c r="B14" s="15" t="n">
        <v>3800</v>
      </c>
      <c r="C14" s="18" t="n">
        <f aca="false">B14/B13-1</f>
        <v>0.266666666666667</v>
      </c>
      <c r="E14" s="2" t="s">
        <v>227</v>
      </c>
      <c r="F14" s="10" t="n">
        <f aca="false">F12+F13</f>
        <v>0.083920092915</v>
      </c>
    </row>
    <row r="16" customFormat="false" ht="15" hidden="false" customHeight="false" outlineLevel="0" collapsed="false">
      <c r="E16" s="6" t="s">
        <v>228</v>
      </c>
      <c r="F16" s="6" t="s">
        <v>229</v>
      </c>
      <c r="G16" s="6" t="s">
        <v>230</v>
      </c>
      <c r="H16" s="6" t="s">
        <v>227</v>
      </c>
    </row>
    <row r="17" customFormat="false" ht="15" hidden="false" customHeight="false" outlineLevel="0" collapsed="false">
      <c r="E17" s="2" t="s">
        <v>231</v>
      </c>
      <c r="F17" s="20" t="n">
        <v>0.19</v>
      </c>
      <c r="G17" s="10" t="n">
        <f aca="false">F5</f>
        <v>0.126574786343073</v>
      </c>
      <c r="H17" s="10" t="n">
        <f aca="false">F14</f>
        <v>0.083920092915</v>
      </c>
    </row>
    <row r="18" customFormat="false" ht="15" hidden="false" customHeight="false" outlineLevel="0" collapsed="false">
      <c r="E18" s="2" t="s">
        <v>232</v>
      </c>
      <c r="F18" s="20" t="n">
        <v>0.07</v>
      </c>
      <c r="G18" s="10" t="n">
        <f aca="false">F18</f>
        <v>0.07</v>
      </c>
      <c r="H18" s="10" t="n">
        <f aca="false">F18</f>
        <v>0.07</v>
      </c>
    </row>
    <row r="19" customFormat="false" ht="15" hidden="false" customHeight="false" outlineLevel="0" collapsed="false">
      <c r="E19" s="2" t="s">
        <v>233</v>
      </c>
      <c r="F19" s="21" t="n">
        <v>30</v>
      </c>
      <c r="G19" s="2" t="n">
        <f aca="false">F19</f>
        <v>30</v>
      </c>
      <c r="H19" s="2" t="n">
        <f aca="false">F19</f>
        <v>30</v>
      </c>
    </row>
    <row r="20" customFormat="false" ht="15" hidden="false" customHeight="false" outlineLevel="0" collapsed="false">
      <c r="E20" s="2" t="s">
        <v>234</v>
      </c>
      <c r="F20" s="20" t="n">
        <v>0.03</v>
      </c>
      <c r="G20" s="10" t="n">
        <f aca="false">F20</f>
        <v>0.03</v>
      </c>
      <c r="H20" s="10" t="n">
        <f aca="false">F20</f>
        <v>0.03</v>
      </c>
    </row>
    <row r="21" customFormat="false" ht="15" hidden="false" customHeight="false" outlineLevel="0" collapsed="false">
      <c r="E21" s="2" t="s">
        <v>235</v>
      </c>
      <c r="F21" s="22" t="n">
        <f aca="false">(1+F17)^F19</f>
        <v>184.675312154263</v>
      </c>
      <c r="G21" s="22" t="n">
        <f aca="false">(1+G17)^G19</f>
        <v>35.7109015440096</v>
      </c>
      <c r="H21" s="22" t="n">
        <f aca="false">(1+H17)^H19</f>
        <v>11.2180664918972</v>
      </c>
    </row>
    <row r="22" customFormat="false" ht="15" hidden="false" customHeight="false" outlineLevel="0" collapsed="false">
      <c r="E22" s="2" t="s">
        <v>236</v>
      </c>
      <c r="F22" s="23" t="n">
        <f aca="false">(1+F17)^F19/(1+F18)^F19</f>
        <v>24.2602633673294</v>
      </c>
      <c r="G22" s="23" t="n">
        <f aca="false">(1+G17)^G19/(1+G18)^G19</f>
        <v>4.69123818682792</v>
      </c>
      <c r="H22" s="23" t="n">
        <f aca="false">(1+H17)^H19/(1+H18)^H19</f>
        <v>1.47368505508903</v>
      </c>
    </row>
    <row r="23" customFormat="false" ht="15" hidden="false" customHeight="false" outlineLevel="0" collapsed="false">
      <c r="E23" s="2" t="s">
        <v>237</v>
      </c>
      <c r="F23" s="10" t="n">
        <f aca="false">F20*(1+F18)^F19/(1+F17)^F19</f>
        <v>0.00123659003802902</v>
      </c>
      <c r="G23" s="10" t="n">
        <f aca="false">G20*(1+G18)^G19/(1+G17)^G19</f>
        <v>0.00639490019590865</v>
      </c>
      <c r="H23" s="10" t="n">
        <f aca="false">H20*(1+H18)^H19/(1+H17)^H19</f>
        <v>0.0203571311905498</v>
      </c>
    </row>
    <row r="25" customFormat="false" ht="15" hidden="false" customHeight="false" outlineLevel="0" collapsed="false">
      <c r="E25" s="4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70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3" t="s">
        <v>239</v>
      </c>
    </row>
    <row r="2" customFormat="false" ht="15" hidden="false" customHeight="false" outlineLevel="0" collapsed="false">
      <c r="A2" s="4" t="s">
        <v>240</v>
      </c>
    </row>
    <row r="4" customFormat="false" ht="15" hidden="false" customHeight="false" outlineLevel="0" collapsed="false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</row>
    <row r="5" customFormat="false" ht="23.85" hidden="false" customHeight="false" outlineLevel="0" collapsed="false">
      <c r="A5" s="2" t="s">
        <v>247</v>
      </c>
      <c r="B5" s="24" t="s">
        <v>248</v>
      </c>
      <c r="C5" s="2" t="s">
        <v>249</v>
      </c>
      <c r="D5" s="2" t="s">
        <v>250</v>
      </c>
      <c r="E5" s="2" t="s">
        <v>251</v>
      </c>
      <c r="F5" s="24" t="s">
        <v>252</v>
      </c>
    </row>
    <row r="6" customFormat="false" ht="15" hidden="false" customHeight="false" outlineLevel="0" collapsed="false">
      <c r="A6" s="2" t="s">
        <v>247</v>
      </c>
      <c r="B6" s="24" t="s">
        <v>253</v>
      </c>
      <c r="C6" s="2" t="s">
        <v>254</v>
      </c>
      <c r="D6" s="2" t="s">
        <v>255</v>
      </c>
      <c r="E6" s="2" t="s">
        <v>256</v>
      </c>
      <c r="F6" s="24"/>
    </row>
    <row r="7" customFormat="false" ht="23.85" hidden="false" customHeight="false" outlineLevel="0" collapsed="false">
      <c r="A7" s="2" t="s">
        <v>247</v>
      </c>
      <c r="B7" s="24" t="s">
        <v>257</v>
      </c>
      <c r="C7" s="2" t="s">
        <v>258</v>
      </c>
      <c r="D7" s="2" t="s">
        <v>48</v>
      </c>
      <c r="E7" s="2" t="s">
        <v>259</v>
      </c>
      <c r="F7" s="24" t="s">
        <v>260</v>
      </c>
    </row>
    <row r="8" customFormat="false" ht="15" hidden="false" customHeight="false" outlineLevel="0" collapsed="false">
      <c r="A8" s="2" t="s">
        <v>247</v>
      </c>
      <c r="B8" s="24" t="s">
        <v>261</v>
      </c>
      <c r="C8" s="2" t="s">
        <v>262</v>
      </c>
      <c r="D8" s="2" t="s">
        <v>263</v>
      </c>
      <c r="E8" s="2" t="s">
        <v>264</v>
      </c>
      <c r="F8" s="24" t="s">
        <v>265</v>
      </c>
    </row>
    <row r="9" customFormat="false" ht="15" hidden="false" customHeight="false" outlineLevel="0" collapsed="false">
      <c r="A9" s="2" t="s">
        <v>266</v>
      </c>
      <c r="B9" s="24" t="s">
        <v>267</v>
      </c>
      <c r="C9" s="2" t="s">
        <v>268</v>
      </c>
      <c r="D9" s="2" t="s">
        <v>269</v>
      </c>
      <c r="E9" s="2" t="s">
        <v>270</v>
      </c>
      <c r="F9" s="24" t="s">
        <v>271</v>
      </c>
    </row>
    <row r="10" customFormat="false" ht="23.85" hidden="false" customHeight="false" outlineLevel="0" collapsed="false">
      <c r="A10" s="2" t="s">
        <v>272</v>
      </c>
      <c r="B10" s="24" t="s">
        <v>273</v>
      </c>
      <c r="C10" s="2" t="s">
        <v>268</v>
      </c>
      <c r="D10" s="2" t="s">
        <v>269</v>
      </c>
      <c r="E10" s="2" t="s">
        <v>274</v>
      </c>
      <c r="F10" s="24" t="s">
        <v>275</v>
      </c>
    </row>
    <row r="11" customFormat="false" ht="23.85" hidden="false" customHeight="false" outlineLevel="0" collapsed="false">
      <c r="A11" s="2" t="s">
        <v>276</v>
      </c>
      <c r="B11" s="24" t="s">
        <v>277</v>
      </c>
      <c r="C11" s="2" t="s">
        <v>249</v>
      </c>
      <c r="D11" s="2" t="s">
        <v>250</v>
      </c>
      <c r="E11" s="2" t="s">
        <v>278</v>
      </c>
      <c r="F11" s="24" t="s">
        <v>279</v>
      </c>
    </row>
    <row r="12" customFormat="false" ht="15" hidden="false" customHeight="false" outlineLevel="0" collapsed="false">
      <c r="A12" s="2" t="s">
        <v>276</v>
      </c>
      <c r="B12" s="24" t="s">
        <v>280</v>
      </c>
      <c r="C12" s="2" t="s">
        <v>249</v>
      </c>
      <c r="D12" s="2" t="s">
        <v>250</v>
      </c>
      <c r="E12" s="2" t="s">
        <v>281</v>
      </c>
      <c r="F12" s="24"/>
    </row>
    <row r="13" customFormat="false" ht="23.85" hidden="false" customHeight="false" outlineLevel="0" collapsed="false">
      <c r="A13" s="2" t="s">
        <v>282</v>
      </c>
      <c r="B13" s="24" t="s">
        <v>283</v>
      </c>
      <c r="C13" s="2" t="s">
        <v>268</v>
      </c>
      <c r="D13" s="2" t="s">
        <v>269</v>
      </c>
      <c r="E13" s="2" t="s">
        <v>284</v>
      </c>
      <c r="F13" s="24" t="s">
        <v>285</v>
      </c>
    </row>
    <row r="14" customFormat="false" ht="35.05" hidden="false" customHeight="false" outlineLevel="0" collapsed="false">
      <c r="A14" s="2" t="s">
        <v>286</v>
      </c>
      <c r="B14" s="24" t="s">
        <v>287</v>
      </c>
      <c r="C14" s="2" t="s">
        <v>288</v>
      </c>
      <c r="D14" s="2" t="s">
        <v>289</v>
      </c>
      <c r="E14" s="2" t="s">
        <v>290</v>
      </c>
      <c r="F14" s="24" t="s">
        <v>291</v>
      </c>
    </row>
    <row r="15" customFormat="false" ht="23.85" hidden="false" customHeight="false" outlineLevel="0" collapsed="false">
      <c r="A15" s="2" t="s">
        <v>292</v>
      </c>
      <c r="B15" s="24" t="s">
        <v>293</v>
      </c>
      <c r="C15" s="2" t="s">
        <v>294</v>
      </c>
      <c r="D15" s="2" t="s">
        <v>269</v>
      </c>
      <c r="E15" s="2" t="s">
        <v>295</v>
      </c>
      <c r="F15" s="24" t="s">
        <v>296</v>
      </c>
    </row>
    <row r="16" customFormat="false" ht="23.85" hidden="false" customHeight="false" outlineLevel="0" collapsed="false">
      <c r="A16" s="2" t="s">
        <v>297</v>
      </c>
      <c r="B16" s="24" t="s">
        <v>298</v>
      </c>
      <c r="C16" s="2" t="s">
        <v>180</v>
      </c>
      <c r="D16" s="2" t="s">
        <v>48</v>
      </c>
      <c r="E16" s="2" t="s">
        <v>299</v>
      </c>
      <c r="F16" s="24" t="s">
        <v>300</v>
      </c>
    </row>
    <row r="17" customFormat="false" ht="23.85" hidden="false" customHeight="false" outlineLevel="0" collapsed="false">
      <c r="A17" s="2" t="s">
        <v>301</v>
      </c>
      <c r="B17" s="24" t="s">
        <v>302</v>
      </c>
      <c r="C17" s="2" t="s">
        <v>303</v>
      </c>
      <c r="D17" s="2" t="s">
        <v>250</v>
      </c>
      <c r="E17" s="2" t="s">
        <v>304</v>
      </c>
      <c r="F17" s="24" t="s">
        <v>305</v>
      </c>
    </row>
    <row r="18" customFormat="false" ht="15" hidden="false" customHeight="false" outlineLevel="0" collapsed="false">
      <c r="A18" s="2" t="s">
        <v>306</v>
      </c>
      <c r="B18" s="24" t="s">
        <v>307</v>
      </c>
      <c r="C18" s="2" t="s">
        <v>308</v>
      </c>
      <c r="D18" s="2" t="s">
        <v>250</v>
      </c>
      <c r="E18" s="2" t="s">
        <v>309</v>
      </c>
      <c r="F1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70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3" t="s">
        <v>310</v>
      </c>
    </row>
    <row r="2" customFormat="false" ht="15" hidden="false" customHeight="false" outlineLevel="0" collapsed="false">
      <c r="A2" s="4" t="s">
        <v>240</v>
      </c>
    </row>
    <row r="4" customFormat="false" ht="15" hidden="false" customHeight="false" outlineLevel="0" collapsed="false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</row>
    <row r="5" customFormat="false" ht="23.85" hidden="false" customHeight="false" outlineLevel="0" collapsed="false">
      <c r="A5" s="2" t="s">
        <v>311</v>
      </c>
      <c r="B5" s="24" t="s">
        <v>312</v>
      </c>
      <c r="C5" s="2" t="s">
        <v>313</v>
      </c>
      <c r="D5" s="2" t="s">
        <v>314</v>
      </c>
      <c r="E5" s="2" t="s">
        <v>315</v>
      </c>
      <c r="F5" s="24" t="s">
        <v>316</v>
      </c>
    </row>
    <row r="6" customFormat="false" ht="15" hidden="false" customHeight="false" outlineLevel="0" collapsed="false">
      <c r="A6" s="2" t="s">
        <v>311</v>
      </c>
      <c r="B6" s="24" t="s">
        <v>317</v>
      </c>
      <c r="C6" s="2" t="s">
        <v>318</v>
      </c>
      <c r="D6" s="2" t="s">
        <v>48</v>
      </c>
      <c r="E6" s="2" t="s">
        <v>319</v>
      </c>
      <c r="F6" s="24"/>
    </row>
    <row r="7" customFormat="false" ht="15" hidden="false" customHeight="false" outlineLevel="0" collapsed="false">
      <c r="A7" s="2" t="s">
        <v>320</v>
      </c>
      <c r="B7" s="24" t="s">
        <v>321</v>
      </c>
      <c r="C7" s="2" t="s">
        <v>318</v>
      </c>
      <c r="D7" s="2" t="s">
        <v>48</v>
      </c>
      <c r="E7" s="2" t="s">
        <v>319</v>
      </c>
      <c r="F7" s="24"/>
    </row>
    <row r="8" customFormat="false" ht="23.85" hidden="false" customHeight="false" outlineLevel="0" collapsed="false">
      <c r="A8" s="2" t="s">
        <v>322</v>
      </c>
      <c r="B8" s="24" t="s">
        <v>323</v>
      </c>
      <c r="C8" s="2" t="s">
        <v>303</v>
      </c>
      <c r="D8" s="2" t="s">
        <v>314</v>
      </c>
      <c r="E8" s="2" t="s">
        <v>324</v>
      </c>
      <c r="F8" s="24" t="s">
        <v>325</v>
      </c>
    </row>
    <row r="9" customFormat="false" ht="15" hidden="false" customHeight="false" outlineLevel="0" collapsed="false">
      <c r="A9" s="2" t="s">
        <v>322</v>
      </c>
      <c r="B9" s="24" t="s">
        <v>326</v>
      </c>
      <c r="C9" s="2" t="s">
        <v>327</v>
      </c>
      <c r="D9" s="2" t="s">
        <v>48</v>
      </c>
      <c r="E9" s="2" t="s">
        <v>328</v>
      </c>
      <c r="F9" s="24" t="s">
        <v>329</v>
      </c>
    </row>
    <row r="10" customFormat="false" ht="46.25" hidden="false" customHeight="false" outlineLevel="0" collapsed="false">
      <c r="A10" s="2" t="s">
        <v>330</v>
      </c>
      <c r="B10" s="24" t="s">
        <v>331</v>
      </c>
      <c r="C10" s="2"/>
      <c r="D10" s="2" t="s">
        <v>332</v>
      </c>
      <c r="E10" s="2"/>
      <c r="F10" s="24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70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3" t="s">
        <v>334</v>
      </c>
    </row>
    <row r="2" customFormat="false" ht="15" hidden="false" customHeight="false" outlineLevel="0" collapsed="false">
      <c r="A2" s="4" t="s">
        <v>240</v>
      </c>
    </row>
    <row r="4" customFormat="false" ht="15" hidden="false" customHeight="false" outlineLevel="0" collapsed="false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</row>
    <row r="5" customFormat="false" ht="35.05" hidden="false" customHeight="false" outlineLevel="0" collapsed="false">
      <c r="A5" s="2" t="s">
        <v>335</v>
      </c>
      <c r="B5" s="24" t="s">
        <v>336</v>
      </c>
      <c r="C5" s="2" t="s">
        <v>318</v>
      </c>
      <c r="D5" s="2" t="s">
        <v>337</v>
      </c>
      <c r="E5" s="2" t="s">
        <v>338</v>
      </c>
      <c r="F5" s="24" t="s">
        <v>339</v>
      </c>
    </row>
    <row r="6" customFormat="false" ht="15" hidden="false" customHeight="false" outlineLevel="0" collapsed="false">
      <c r="A6" s="2" t="s">
        <v>340</v>
      </c>
      <c r="B6" s="24" t="s">
        <v>341</v>
      </c>
      <c r="C6" s="2" t="s">
        <v>342</v>
      </c>
      <c r="D6" s="2" t="s">
        <v>343</v>
      </c>
      <c r="E6" s="2" t="s">
        <v>344</v>
      </c>
      <c r="F6" s="24"/>
    </row>
    <row r="7" customFormat="false" ht="15" hidden="false" customHeight="false" outlineLevel="0" collapsed="false">
      <c r="A7" s="2" t="s">
        <v>345</v>
      </c>
      <c r="B7" s="24" t="s">
        <v>346</v>
      </c>
      <c r="C7" s="2" t="s">
        <v>268</v>
      </c>
      <c r="D7" s="2" t="s">
        <v>345</v>
      </c>
      <c r="E7" s="2" t="s">
        <v>347</v>
      </c>
      <c r="F7" s="24" t="s">
        <v>348</v>
      </c>
    </row>
    <row r="8" customFormat="false" ht="35.05" hidden="false" customHeight="false" outlineLevel="0" collapsed="false">
      <c r="A8" s="2" t="s">
        <v>349</v>
      </c>
      <c r="B8" s="24" t="s">
        <v>350</v>
      </c>
      <c r="C8" s="2"/>
      <c r="D8" s="2" t="s">
        <v>351</v>
      </c>
      <c r="E8" s="2"/>
      <c r="F8" s="24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70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3" t="s">
        <v>353</v>
      </c>
    </row>
    <row r="2" customFormat="false" ht="15" hidden="false" customHeight="false" outlineLevel="0" collapsed="false">
      <c r="A2" s="4" t="s">
        <v>240</v>
      </c>
    </row>
    <row r="4" customFormat="false" ht="15" hidden="false" customHeight="false" outlineLevel="0" collapsed="false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</row>
    <row r="5" customFormat="false" ht="15" hidden="false" customHeight="false" outlineLevel="0" collapsed="false">
      <c r="A5" s="2" t="s">
        <v>354</v>
      </c>
      <c r="B5" s="24" t="s">
        <v>355</v>
      </c>
      <c r="C5" s="2" t="s">
        <v>342</v>
      </c>
      <c r="D5" s="2" t="s">
        <v>356</v>
      </c>
      <c r="E5" s="2" t="s">
        <v>357</v>
      </c>
      <c r="F5" s="24" t="s">
        <v>358</v>
      </c>
    </row>
    <row r="6" customFormat="false" ht="23.85" hidden="false" customHeight="false" outlineLevel="0" collapsed="false">
      <c r="A6" s="2" t="s">
        <v>359</v>
      </c>
      <c r="B6" s="24" t="s">
        <v>360</v>
      </c>
      <c r="C6" s="2" t="s">
        <v>361</v>
      </c>
      <c r="D6" s="2" t="s">
        <v>48</v>
      </c>
      <c r="E6" s="2" t="s">
        <v>362</v>
      </c>
      <c r="F6" s="24" t="s">
        <v>363</v>
      </c>
    </row>
    <row r="7" customFormat="false" ht="23.85" hidden="false" customHeight="false" outlineLevel="0" collapsed="false">
      <c r="A7" s="2" t="s">
        <v>364</v>
      </c>
      <c r="B7" s="24" t="s">
        <v>365</v>
      </c>
      <c r="C7" s="2"/>
      <c r="D7" s="2" t="s">
        <v>332</v>
      </c>
      <c r="E7" s="2"/>
      <c r="F7" s="24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70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3" t="s">
        <v>367</v>
      </c>
    </row>
    <row r="2" customFormat="false" ht="15" hidden="false" customHeight="false" outlineLevel="0" collapsed="false">
      <c r="A2" s="4" t="s">
        <v>368</v>
      </c>
    </row>
    <row r="4" customFormat="false" ht="15" hidden="false" customHeight="false" outlineLevel="0" collapsed="false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</row>
    <row r="5" customFormat="false" ht="15" hidden="false" customHeight="false" outlineLevel="0" collapsed="false">
      <c r="A5" s="2" t="s">
        <v>369</v>
      </c>
      <c r="B5" s="24" t="s">
        <v>370</v>
      </c>
      <c r="C5" s="2" t="s">
        <v>371</v>
      </c>
      <c r="D5" s="2" t="s">
        <v>289</v>
      </c>
      <c r="E5" s="2" t="s">
        <v>372</v>
      </c>
      <c r="F5" s="24"/>
    </row>
    <row r="6" customFormat="false" ht="15" hidden="false" customHeight="false" outlineLevel="0" collapsed="false">
      <c r="A6" s="2" t="s">
        <v>373</v>
      </c>
      <c r="B6" s="24" t="s">
        <v>374</v>
      </c>
      <c r="C6" s="2" t="s">
        <v>375</v>
      </c>
      <c r="D6" s="2" t="s">
        <v>376</v>
      </c>
      <c r="E6" s="2" t="s">
        <v>377</v>
      </c>
      <c r="F6" s="24"/>
    </row>
    <row r="7" customFormat="false" ht="23.85" hidden="false" customHeight="false" outlineLevel="0" collapsed="false">
      <c r="A7" s="2" t="s">
        <v>378</v>
      </c>
      <c r="B7" s="24" t="s">
        <v>379</v>
      </c>
      <c r="C7" s="2" t="s">
        <v>380</v>
      </c>
      <c r="D7" s="2" t="s">
        <v>48</v>
      </c>
      <c r="E7" s="2" t="s">
        <v>381</v>
      </c>
      <c r="F7" s="24" t="s">
        <v>382</v>
      </c>
    </row>
    <row r="10" customFormat="false" ht="15" hidden="false" customHeight="false" outlineLevel="0" collapsed="false">
      <c r="A10" s="1" t="s">
        <v>383</v>
      </c>
    </row>
    <row r="11" customFormat="false" ht="15" hidden="false" customHeight="false" outlineLevel="0" collapsed="false">
      <c r="A11" s="6" t="s">
        <v>384</v>
      </c>
      <c r="B11" s="6" t="s">
        <v>385</v>
      </c>
      <c r="C11" s="6" t="s">
        <v>386</v>
      </c>
      <c r="D11" s="6" t="s">
        <v>387</v>
      </c>
      <c r="E11" s="6" t="s">
        <v>388</v>
      </c>
      <c r="F11" s="6" t="s">
        <v>389</v>
      </c>
      <c r="G11" s="6" t="s">
        <v>390</v>
      </c>
    </row>
    <row r="12" customFormat="false" ht="15" hidden="false" customHeight="false" outlineLevel="0" collapsed="false">
      <c r="A12" s="4" t="s">
        <v>391</v>
      </c>
      <c r="B12" s="25"/>
      <c r="C12" s="25" t="n">
        <v>0.052</v>
      </c>
      <c r="D12" s="25" t="n">
        <v>0.052</v>
      </c>
      <c r="E12" s="25" t="n">
        <v>0.053</v>
      </c>
      <c r="F12" s="4" t="s">
        <v>371</v>
      </c>
      <c r="G12" s="4" t="s">
        <v>392</v>
      </c>
    </row>
    <row r="13" customFormat="false" ht="15" hidden="false" customHeight="false" outlineLevel="0" collapsed="false">
      <c r="A13" s="2" t="s">
        <v>393</v>
      </c>
      <c r="B13" s="20"/>
      <c r="C13" s="20"/>
      <c r="D13" s="20"/>
      <c r="E13" s="20"/>
      <c r="F13" s="21"/>
      <c r="G13" s="21"/>
    </row>
    <row r="14" customFormat="false" ht="15" hidden="false" customHeight="false" outlineLevel="0" collapsed="false">
      <c r="A14" s="2" t="s">
        <v>394</v>
      </c>
      <c r="B14" s="20"/>
      <c r="C14" s="20"/>
      <c r="D14" s="20"/>
      <c r="E14" s="20"/>
      <c r="F14" s="21"/>
      <c r="G14" s="21"/>
    </row>
    <row r="15" customFormat="false" ht="15" hidden="false" customHeight="false" outlineLevel="0" collapsed="false">
      <c r="A15" s="2" t="s">
        <v>395</v>
      </c>
      <c r="B15" s="20"/>
      <c r="C15" s="20"/>
      <c r="D15" s="20"/>
      <c r="E15" s="20"/>
      <c r="F15" s="21"/>
      <c r="G15" s="21"/>
    </row>
    <row r="16" customFormat="false" ht="15" hidden="false" customHeight="false" outlineLevel="0" collapsed="false">
      <c r="A16" s="2" t="s">
        <v>396</v>
      </c>
      <c r="B16" s="20"/>
      <c r="C16" s="20"/>
      <c r="D16" s="20"/>
      <c r="E16" s="20"/>
      <c r="F16" s="21"/>
      <c r="G16" s="21"/>
    </row>
    <row r="17" customFormat="false" ht="15" hidden="false" customHeight="false" outlineLevel="0" collapsed="false">
      <c r="A17" s="2" t="s">
        <v>397</v>
      </c>
      <c r="B17" s="20"/>
      <c r="C17" s="20"/>
      <c r="D17" s="20"/>
      <c r="E17" s="20"/>
      <c r="F17" s="21"/>
      <c r="G17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398</v>
      </c>
    </row>
    <row r="2" customFormat="false" ht="15" hidden="false" customHeight="false" outlineLevel="0" collapsed="false">
      <c r="A2" s="4" t="s">
        <v>399</v>
      </c>
    </row>
    <row r="4" customFormat="false" ht="15" hidden="false" customHeight="false" outlineLevel="0" collapsed="false">
      <c r="A4" s="5" t="s">
        <v>400</v>
      </c>
      <c r="B4" s="5" t="s">
        <v>401</v>
      </c>
      <c r="C4" s="5" t="s">
        <v>402</v>
      </c>
      <c r="D4" s="5" t="s">
        <v>403</v>
      </c>
      <c r="E4" s="5" t="s">
        <v>404</v>
      </c>
      <c r="F4" s="5" t="s">
        <v>405</v>
      </c>
      <c r="G4" s="5" t="s">
        <v>406</v>
      </c>
      <c r="H4" s="5" t="s">
        <v>407</v>
      </c>
    </row>
    <row r="5" customFormat="false" ht="15" hidden="false" customHeight="false" outlineLevel="0" collapsed="false">
      <c r="A5" s="2" t="s">
        <v>408</v>
      </c>
      <c r="B5" s="19" t="n">
        <f aca="false">Savings_hist!F5</f>
        <v>0.065</v>
      </c>
      <c r="C5" s="19" t="n">
        <f aca="false">Savings_hist!F6</f>
        <v>0.00816088230524127</v>
      </c>
      <c r="D5" s="2" t="s">
        <v>409</v>
      </c>
      <c r="E5" s="2" t="s">
        <v>410</v>
      </c>
      <c r="F5" s="2" t="n">
        <v>11</v>
      </c>
      <c r="G5" s="2" t="s">
        <v>411</v>
      </c>
      <c r="H5" s="24" t="s">
        <v>412</v>
      </c>
    </row>
    <row r="6" customFormat="false" ht="15" hidden="false" customHeight="false" outlineLevel="0" collapsed="false">
      <c r="A6" s="2" t="s">
        <v>413</v>
      </c>
      <c r="B6" s="19" t="n">
        <f aca="false">VNIndex_fixed!H8</f>
        <v>0.0799044828956891</v>
      </c>
      <c r="C6" s="19" t="n">
        <f aca="false">VNIndex_fixed!H9</f>
        <v>0.192971930811575</v>
      </c>
      <c r="D6" s="2" t="s">
        <v>414</v>
      </c>
      <c r="E6" s="2" t="s">
        <v>415</v>
      </c>
      <c r="F6" s="2" t="n">
        <v>63</v>
      </c>
      <c r="G6" s="2" t="s">
        <v>411</v>
      </c>
      <c r="H6" s="24" t="s">
        <v>416</v>
      </c>
    </row>
    <row r="7" customFormat="false" ht="15" hidden="false" customHeight="false" outlineLevel="0" collapsed="false">
      <c r="A7" s="2" t="s">
        <v>417</v>
      </c>
      <c r="B7" s="19" t="n">
        <f aca="false">Bond_10Y!F5</f>
        <v>0.0402181818181818</v>
      </c>
      <c r="C7" s="19" t="n">
        <f aca="false">Bond_10Y!F6</f>
        <v>0.0136507009477036</v>
      </c>
      <c r="D7" s="2" t="s">
        <v>409</v>
      </c>
      <c r="E7" s="2" t="s">
        <v>410</v>
      </c>
      <c r="F7" s="2" t="n">
        <v>11</v>
      </c>
      <c r="G7" s="2" t="s">
        <v>411</v>
      </c>
      <c r="H7" s="24" t="s">
        <v>418</v>
      </c>
    </row>
    <row r="8" customFormat="false" ht="15" hidden="false" customHeight="false" outlineLevel="0" collapsed="false">
      <c r="A8" s="2" t="s">
        <v>419</v>
      </c>
      <c r="B8" s="19" t="n">
        <f aca="false">Gold_SJC!F6</f>
        <v>0.148934488590711</v>
      </c>
      <c r="C8" s="19" t="n">
        <f aca="false">Gold_SJC!F7</f>
        <v>0.141258744990806</v>
      </c>
      <c r="D8" s="2" t="s">
        <v>414</v>
      </c>
      <c r="E8" s="2" t="s">
        <v>420</v>
      </c>
      <c r="F8" s="2" t="n">
        <v>128</v>
      </c>
      <c r="G8" s="2" t="s">
        <v>411</v>
      </c>
      <c r="H8" s="24" t="s">
        <v>421</v>
      </c>
    </row>
    <row r="9" customFormat="false" ht="15" hidden="false" customHeight="false" outlineLevel="0" collapsed="false">
      <c r="A9" s="2" t="s">
        <v>422</v>
      </c>
      <c r="B9" s="19" t="n">
        <f aca="false">Income_growth!F5</f>
        <v>0.0486971821535195</v>
      </c>
      <c r="C9" s="19" t="n">
        <f aca="false">Income_growth!F6</f>
        <v>0.0568146632282994</v>
      </c>
      <c r="D9" s="2" t="s">
        <v>414</v>
      </c>
      <c r="E9" s="2" t="s">
        <v>423</v>
      </c>
      <c r="F9" s="2" t="n">
        <v>5</v>
      </c>
      <c r="G9" s="2" t="s">
        <v>411</v>
      </c>
      <c r="H9" s="24" t="s">
        <v>424</v>
      </c>
    </row>
    <row r="10" customFormat="false" ht="15" hidden="false" customHeight="false" outlineLevel="0" collapsed="false">
      <c r="A10" s="2" t="s">
        <v>425</v>
      </c>
      <c r="B10" s="19" t="n">
        <f aca="false">CPI_WB!F5</f>
        <v>0.030920092915</v>
      </c>
      <c r="C10" s="13" t="n">
        <v>0</v>
      </c>
      <c r="D10" s="2" t="s">
        <v>426</v>
      </c>
      <c r="E10" s="2" t="s">
        <v>427</v>
      </c>
      <c r="F10" s="2" t="n">
        <v>10</v>
      </c>
      <c r="G10" s="2" t="s">
        <v>411</v>
      </c>
      <c r="H10" s="24" t="s">
        <v>428</v>
      </c>
    </row>
    <row r="11" customFormat="false" ht="15" hidden="false" customHeight="false" outlineLevel="0" collapsed="false">
      <c r="A11" s="2" t="s">
        <v>429</v>
      </c>
      <c r="B11" s="10"/>
      <c r="C11" s="13" t="n">
        <v>0.0075</v>
      </c>
      <c r="D11" s="2" t="s">
        <v>409</v>
      </c>
      <c r="E11" s="2"/>
      <c r="F11" s="2"/>
      <c r="G11" s="2" t="s">
        <v>430</v>
      </c>
      <c r="H11" s="24" t="s">
        <v>431</v>
      </c>
    </row>
    <row r="12" customFormat="false" ht="15" hidden="false" customHeight="false" outlineLevel="0" collapsed="false">
      <c r="A12" s="2" t="s">
        <v>432</v>
      </c>
      <c r="B12" s="13" t="n">
        <v>0.19</v>
      </c>
      <c r="C12" s="13" t="n">
        <v>0.04</v>
      </c>
      <c r="D12" s="2" t="s">
        <v>409</v>
      </c>
      <c r="E12" s="2"/>
      <c r="F12" s="2"/>
      <c r="G12" s="2" t="s">
        <v>433</v>
      </c>
      <c r="H12" s="24" t="s">
        <v>434</v>
      </c>
    </row>
    <row r="13" customFormat="false" ht="15" hidden="false" customHeight="false" outlineLevel="0" collapsed="false">
      <c r="A13" s="2" t="s">
        <v>435</v>
      </c>
      <c r="B13" s="13" t="n">
        <v>0.07</v>
      </c>
      <c r="C13" s="13" t="n">
        <v>0.0125</v>
      </c>
      <c r="D13" s="2" t="s">
        <v>409</v>
      </c>
      <c r="E13" s="2"/>
      <c r="F13" s="2"/>
      <c r="G13" s="2" t="s">
        <v>436</v>
      </c>
      <c r="H13" s="24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438</v>
      </c>
    </row>
    <row r="2" customFormat="false" ht="15" hidden="false" customHeight="false" outlineLevel="0" collapsed="false">
      <c r="A2" s="4" t="s">
        <v>439</v>
      </c>
    </row>
    <row r="4" customFormat="false" ht="15" hidden="false" customHeight="false" outlineLevel="0" collapsed="false">
      <c r="A4" s="5" t="s">
        <v>440</v>
      </c>
      <c r="B4" s="5" t="s">
        <v>441</v>
      </c>
      <c r="C4" s="5" t="s">
        <v>442</v>
      </c>
      <c r="D4" s="5" t="s">
        <v>443</v>
      </c>
      <c r="E4" s="5" t="s">
        <v>444</v>
      </c>
      <c r="F4" s="5" t="s">
        <v>445</v>
      </c>
      <c r="G4" s="5" t="s">
        <v>446</v>
      </c>
      <c r="H4" s="5" t="s">
        <v>447</v>
      </c>
    </row>
    <row r="5" customFormat="false" ht="15" hidden="false" customHeight="false" outlineLevel="0" collapsed="false">
      <c r="A5" s="2" t="s">
        <v>448</v>
      </c>
      <c r="B5" s="2" t="s">
        <v>449</v>
      </c>
      <c r="C5" s="26" t="n">
        <v>20.9606895</v>
      </c>
      <c r="D5" s="26" t="n">
        <v>105.7420591</v>
      </c>
      <c r="E5" s="26" t="n">
        <v>20.9451528</v>
      </c>
      <c r="F5" s="26" t="n">
        <v>105.7558822</v>
      </c>
      <c r="G5" s="27" t="n">
        <f aca="false">2*6371*ASIN(SQRT(SIN(RADIANS(E5-C5)/2)^2+COS(RADIANS(C5))*COS(RADIANS(E5))*SIN(RADIANS(F5-D5)/2)^2))</f>
        <v>2.24611660431017</v>
      </c>
      <c r="H5" s="2" t="s">
        <v>450</v>
      </c>
    </row>
    <row r="6" customFormat="false" ht="15" hidden="false" customHeight="false" outlineLevel="0" collapsed="false">
      <c r="A6" s="2" t="s">
        <v>451</v>
      </c>
      <c r="B6" s="2" t="s">
        <v>452</v>
      </c>
      <c r="C6" s="26" t="n">
        <v>20.9606895</v>
      </c>
      <c r="D6" s="26" t="n">
        <v>105.7420591</v>
      </c>
      <c r="E6" s="26" t="n">
        <v>20.9579161</v>
      </c>
      <c r="F6" s="26" t="n">
        <v>105.7691591</v>
      </c>
      <c r="G6" s="27" t="n">
        <f aca="false">2*6371*ASIN(SQRT(SIN(RADIANS(E6-C6)/2)^2+COS(RADIANS(C6))*COS(RADIANS(E6))*SIN(RADIANS(F6-D6)/2)^2))</f>
        <v>2.83084904460173</v>
      </c>
      <c r="H6" s="2" t="s">
        <v>453</v>
      </c>
    </row>
    <row r="7" customFormat="false" ht="15" hidden="false" customHeight="false" outlineLevel="0" collapsed="false">
      <c r="A7" s="2" t="s">
        <v>454</v>
      </c>
      <c r="B7" s="2" t="s">
        <v>455</v>
      </c>
      <c r="C7" s="26" t="n">
        <v>20.9606895</v>
      </c>
      <c r="D7" s="26" t="n">
        <v>105.7420591</v>
      </c>
      <c r="E7" s="26" t="n">
        <v>20.9567772</v>
      </c>
      <c r="F7" s="26" t="n">
        <v>105.7563336</v>
      </c>
      <c r="G7" s="27" t="n">
        <f aca="false">2*6371*ASIN(SQRT(SIN(RADIANS(E7-C7)/2)^2+COS(RADIANS(C7))*COS(RADIANS(E7))*SIN(RADIANS(F7-D7)/2)^2))</f>
        <v>1.54475721886704</v>
      </c>
      <c r="H7" s="2" t="s">
        <v>456</v>
      </c>
    </row>
    <row r="10" customFormat="false" ht="15" hidden="false" customHeight="false" outlineLevel="0" collapsed="false">
      <c r="A10" s="1" t="s">
        <v>457</v>
      </c>
    </row>
    <row r="11" customFormat="false" ht="15" hidden="false" customHeight="false" outlineLevel="0" collapsed="false">
      <c r="A11" s="2" t="s">
        <v>458</v>
      </c>
      <c r="B11" s="2" t="s">
        <v>459</v>
      </c>
      <c r="C11" s="28" t="n">
        <v>4</v>
      </c>
    </row>
    <row r="12" customFormat="false" ht="15" hidden="false" customHeight="false" outlineLevel="0" collapsed="false">
      <c r="A12" s="2" t="s">
        <v>460</v>
      </c>
      <c r="B12" s="2" t="s">
        <v>461</v>
      </c>
      <c r="C12" s="28" t="n">
        <v>4</v>
      </c>
    </row>
    <row r="13" customFormat="false" ht="15" hidden="false" customHeight="false" outlineLevel="0" collapsed="false">
      <c r="A13" s="2" t="s">
        <v>462</v>
      </c>
      <c r="B13" s="2" t="s">
        <v>463</v>
      </c>
      <c r="C13" s="28" t="n">
        <v>4</v>
      </c>
    </row>
    <row r="14" customFormat="false" ht="15" hidden="false" customHeight="false" outlineLevel="0" collapsed="false">
      <c r="A14" s="2" t="s">
        <v>464</v>
      </c>
      <c r="B14" s="2" t="s">
        <v>465</v>
      </c>
      <c r="C14" s="28" t="n">
        <v>4</v>
      </c>
    </row>
    <row r="15" customFormat="false" ht="15" hidden="false" customHeight="false" outlineLevel="0" collapsed="false">
      <c r="A15" s="2" t="s">
        <v>466</v>
      </c>
      <c r="B15" s="2" t="s">
        <v>467</v>
      </c>
      <c r="C15" s="28" t="n">
        <v>4</v>
      </c>
    </row>
    <row r="16" customFormat="false" ht="15" hidden="false" customHeight="false" outlineLevel="0" collapsed="false">
      <c r="A16" s="2" t="s">
        <v>468</v>
      </c>
      <c r="B16" s="2" t="s">
        <v>469</v>
      </c>
      <c r="C16" s="28" t="n">
        <v>4</v>
      </c>
    </row>
    <row r="17" customFormat="false" ht="15" hidden="false" customHeight="false" outlineLevel="0" collapsed="false">
      <c r="A17" s="2" t="s">
        <v>470</v>
      </c>
      <c r="B17" s="2" t="s">
        <v>471</v>
      </c>
      <c r="C17" s="28" t="n">
        <v>4</v>
      </c>
    </row>
    <row r="19" customFormat="false" ht="15" hidden="false" customHeight="false" outlineLevel="0" collapsed="false">
      <c r="A19" s="1" t="s">
        <v>472</v>
      </c>
    </row>
    <row r="20" customFormat="false" ht="15" hidden="false" customHeight="false" outlineLevel="0" collapsed="false">
      <c r="A20" s="2" t="s">
        <v>473</v>
      </c>
    </row>
    <row r="21" customFormat="false" ht="15" hidden="false" customHeight="false" outlineLevel="0" collapsed="false">
      <c r="A21" s="4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2026-09-28T23:38:41Z</dcterms:created>
  <dc:creator>openpyxl</dc:creator>
  <dc:description/>
  <dc:language>en-US</dc:language>
  <cp:lastModifiedBy/>
  <dcterms:modified xsi:type="dcterms:W3CDTF">2026-09-28T23:38:44Z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